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zbb09\Desktop\"/>
    </mc:Choice>
  </mc:AlternateContent>
  <xr:revisionPtr revIDLastSave="0" documentId="13_ncr:1_{2AA43012-00A7-4B94-BCAB-AAE31A07D472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工时评估表" sheetId="1" r:id="rId1"/>
    <sheet name="项目计划表" sheetId="2" r:id="rId2"/>
    <sheet name="资源分配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13" i="2"/>
  <c r="D12" i="2"/>
  <c r="F5" i="2"/>
  <c r="F4" i="2"/>
  <c r="F3" i="2"/>
  <c r="F2" i="2"/>
  <c r="N56" i="1"/>
  <c r="H56" i="1"/>
</calcChain>
</file>

<file path=xl/sharedStrings.xml><?xml version="1.0" encoding="utf-8"?>
<sst xmlns="http://schemas.openxmlformats.org/spreadsheetml/2006/main" count="396" uniqueCount="127">
  <si>
    <t>ERP升级-系统管理-V1.2.0( 采购)</t>
  </si>
  <si>
    <t>序号</t>
  </si>
  <si>
    <t>人员</t>
  </si>
  <si>
    <t>岗位</t>
  </si>
  <si>
    <t>工期</t>
  </si>
  <si>
    <t>明细说明</t>
  </si>
  <si>
    <t>徐菲\杨文琪\熊利琴</t>
  </si>
  <si>
    <t>产品经理</t>
  </si>
  <si>
    <t>需求设计21、评审0.5*3、验收1</t>
  </si>
  <si>
    <t>黄楷鑫\黄志国\伍映元</t>
  </si>
  <si>
    <t>软件开发工程师</t>
  </si>
  <si>
    <t>研发5 4 3、概要设计及评审2.5、需求评审0.5*3、测试对应2*3</t>
  </si>
  <si>
    <t>张明\李艺涵</t>
  </si>
  <si>
    <t>移动开发工程师</t>
  </si>
  <si>
    <t>研发7 5 4、需求评审0.5*2、测试对应2*2</t>
  </si>
  <si>
    <t>张钰</t>
  </si>
  <si>
    <t>软件测试工程师</t>
  </si>
  <si>
    <t>准备及评审5、需求评审0.5、一二轮测试5、总结0.5</t>
  </si>
  <si>
    <t>编号</t>
  </si>
  <si>
    <t>子系统</t>
  </si>
  <si>
    <t>一级模块</t>
  </si>
  <si>
    <t>二级模块</t>
  </si>
  <si>
    <t>三级模块</t>
  </si>
  <si>
    <t>功能点</t>
  </si>
  <si>
    <t>功能点计数项名称</t>
  </si>
  <si>
    <t>前端</t>
  </si>
  <si>
    <t>测试</t>
  </si>
  <si>
    <t>工时(天)</t>
  </si>
  <si>
    <t>计划开始时间</t>
  </si>
  <si>
    <t>计划完成日期</t>
  </si>
  <si>
    <t>实际完成时间</t>
  </si>
  <si>
    <t>完成状态</t>
  </si>
  <si>
    <t>负责人</t>
  </si>
  <si>
    <t>计划完成时间</t>
  </si>
  <si>
    <t>生产</t>
  </si>
  <si>
    <t>基础信息维护</t>
  </si>
  <si>
    <t>计量单位</t>
  </si>
  <si>
    <t>状态变更</t>
  </si>
  <si>
    <t>已联调</t>
  </si>
  <si>
    <t>黄楷鑫</t>
  </si>
  <si>
    <t>邹榕宜</t>
  </si>
  <si>
    <t>列表查询</t>
  </si>
  <si>
    <t>新增</t>
  </si>
  <si>
    <t>修改</t>
  </si>
  <si>
    <t>删除</t>
  </si>
  <si>
    <t>印制开本维护</t>
  </si>
  <si>
    <t>套色维护</t>
  </si>
  <si>
    <t>尺寸维护</t>
  </si>
  <si>
    <t>商品工艺</t>
  </si>
  <si>
    <t>工艺模板维护</t>
  </si>
  <si>
    <t>左侧导航查询</t>
  </si>
  <si>
    <t>右侧列表查询</t>
  </si>
  <si>
    <t>启用/禁用</t>
  </si>
  <si>
    <t>新增分类</t>
  </si>
  <si>
    <t>修改分类</t>
  </si>
  <si>
    <t>删除分类</t>
  </si>
  <si>
    <t>新增模版-批量新增结构</t>
  </si>
  <si>
    <t>新增同级、新增子级</t>
  </si>
  <si>
    <t>新增模版-模板明细维护</t>
  </si>
  <si>
    <t>新增结构、修改结构、删除结构</t>
  </si>
  <si>
    <t>添加/编辑/删除工序原料</t>
  </si>
  <si>
    <t>添加/修改/删除工艺描述</t>
  </si>
  <si>
    <t>保存--只存模板不更新单品工艺，更新单品工艺</t>
  </si>
  <si>
    <t>修改模版</t>
  </si>
  <si>
    <t>功能点同新增模板-模板明细维护</t>
  </si>
  <si>
    <t>删除模版</t>
  </si>
  <si>
    <t>部位维护</t>
  </si>
  <si>
    <t>新增行、查看描述单、删除</t>
  </si>
  <si>
    <t>插件维护</t>
  </si>
  <si>
    <t>新增行、删除</t>
  </si>
  <si>
    <t>单品工艺维护</t>
  </si>
  <si>
    <t>新增结构、修改结构、删除结构（包括拼版数计算）</t>
  </si>
  <si>
    <t>添加/编辑/删除工序原料（包括底价金额计算）</t>
  </si>
  <si>
    <t>委外部件选择和设置、删除</t>
  </si>
  <si>
    <t>印张批量处理</t>
  </si>
  <si>
    <t>保存--单品工艺另存为模板</t>
  </si>
  <si>
    <t>保存-单品工艺回写原关联模板</t>
  </si>
  <si>
    <t>保存-外协产品自动新增单品工艺</t>
  </si>
  <si>
    <t>保存-保存为单品工艺</t>
  </si>
  <si>
    <t>单品工艺复核</t>
  </si>
  <si>
    <t>复核，其他同单品工艺维护。</t>
  </si>
  <si>
    <t>单品工艺退回</t>
  </si>
  <si>
    <t>单品工艺删除</t>
  </si>
  <si>
    <t>选择模板</t>
  </si>
  <si>
    <t>列表查询、选择、取消</t>
  </si>
  <si>
    <t>商品工艺复制</t>
  </si>
  <si>
    <t>部件维护（后端直接调用）</t>
  </si>
  <si>
    <t>列表、引入、关闭</t>
  </si>
  <si>
    <t>部件显示列表（后端直接调用）</t>
  </si>
  <si>
    <t>工作项描述</t>
  </si>
  <si>
    <t>责任人</t>
  </si>
  <si>
    <t>计划开始日期</t>
  </si>
  <si>
    <t>计划工时（天）</t>
  </si>
  <si>
    <t>是否为里程碑</t>
  </si>
  <si>
    <t>备注</t>
  </si>
  <si>
    <t>需求调研</t>
  </si>
  <si>
    <t>徐菲</t>
  </si>
  <si>
    <t>业务解决方案</t>
  </si>
  <si>
    <t>原型设计或需求编写</t>
  </si>
  <si>
    <t>需求设计评审</t>
  </si>
  <si>
    <t>是</t>
  </si>
  <si>
    <t>UI设计</t>
  </si>
  <si>
    <t>UI评审</t>
  </si>
  <si>
    <t>测试准备</t>
  </si>
  <si>
    <t>测试用例评审</t>
  </si>
  <si>
    <t>概要设计</t>
  </si>
  <si>
    <t>曹尚平</t>
  </si>
  <si>
    <t>概要设计评审</t>
  </si>
  <si>
    <t>开发阶段</t>
  </si>
  <si>
    <t>黄楷鑫、邹榕宜</t>
  </si>
  <si>
    <t>前端开发</t>
  </si>
  <si>
    <t>后端开发</t>
  </si>
  <si>
    <t>联调</t>
  </si>
  <si>
    <t>自测</t>
  </si>
  <si>
    <t>冒烟测试</t>
  </si>
  <si>
    <t>一轮测试</t>
  </si>
  <si>
    <t>二轮测试</t>
  </si>
  <si>
    <t>产品验收</t>
  </si>
  <si>
    <t>UAT测试</t>
  </si>
  <si>
    <t>前端测试对应</t>
  </si>
  <si>
    <t>后端测试对应</t>
  </si>
  <si>
    <t>数据初始化</t>
  </si>
  <si>
    <t>验收回归测试</t>
  </si>
  <si>
    <t>测试总结</t>
  </si>
  <si>
    <t>上线准备</t>
  </si>
  <si>
    <t>软件发布</t>
  </si>
  <si>
    <r>
      <rPr>
        <b/>
        <sz val="11"/>
        <color rgb="FF000000"/>
        <rFont val="宋体"/>
        <family val="3"/>
        <charset val="134"/>
      </rPr>
      <t>后端工时（</t>
    </r>
    <r>
      <rPr>
        <b/>
        <sz val="11"/>
        <color rgb="FFFF0000"/>
        <rFont val="宋体"/>
        <family val="3"/>
        <charset val="134"/>
      </rPr>
      <t>前后端、测试均</t>
    </r>
    <r>
      <rPr>
        <sz val="11"/>
        <color rgb="FFFF0000"/>
        <rFont val="宋体"/>
        <family val="3"/>
        <charset val="134"/>
      </rPr>
      <t>按人天填制，最小单位为0.5，小于最小单位时合并单元格一起填工作量）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</si>
</sst>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20">
    <font>
      <sz val="10"/>
      <color theme="1"/>
      <name val="等线"/>
      <family val="2"/>
      <charset val="134"/>
      <scheme val="minor"/>
    </font>
    <font>
      <b/>
      <sz val="10"/>
      <name val="FangSong"/>
    </font>
    <font>
      <sz val="10"/>
      <name val="FangSong"/>
    </font>
    <font>
      <b/>
      <sz val="11"/>
      <color rgb="FFFFFFFF"/>
      <name val="等线"/>
      <family val="3"/>
      <charset val="134"/>
    </font>
    <font>
      <sz val="11"/>
      <name val="宋体"/>
      <family val="3"/>
      <charset val="134"/>
    </font>
    <font>
      <b/>
      <sz val="10"/>
      <color rgb="FFFFFFFF"/>
      <name val="等线"/>
      <family val="3"/>
      <charset val="134"/>
    </font>
    <font>
      <b/>
      <sz val="11"/>
      <name val="SimSun"/>
      <charset val="134"/>
    </font>
    <font>
      <b/>
      <sz val="11"/>
      <name val="宋体"/>
      <family val="3"/>
      <charset val="134"/>
    </font>
    <font>
      <sz val="9"/>
      <name val="等线"/>
      <family val="3"/>
      <charset val="134"/>
    </font>
    <font>
      <sz val="10"/>
      <name val="等线"/>
      <family val="3"/>
      <charset val="134"/>
    </font>
    <font>
      <sz val="9"/>
      <name val="等线"/>
      <family val="3"/>
      <charset val="134"/>
    </font>
    <font>
      <b/>
      <sz val="10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FFFFFF"/>
      <name val="Microsoft YaHei"/>
      <family val="2"/>
      <charset val="134"/>
    </font>
    <font>
      <strike/>
      <sz val="10"/>
      <name val="Microsoft YaHei"/>
      <family val="2"/>
      <charset val="134"/>
    </font>
    <font>
      <b/>
      <sz val="11"/>
      <color rgb="FF000000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color rgb="FFFF0000"/>
      <name val="宋体"/>
      <family val="3"/>
      <charset val="134"/>
    </font>
    <font>
      <sz val="9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  <bgColor auto="1"/>
      </patternFill>
    </fill>
    <fill>
      <patternFill patternType="solid">
        <fgColor rgb="FFFFFF00"/>
        <bgColor auto="1"/>
      </patternFill>
    </fill>
    <fill>
      <patternFill patternType="solid">
        <fgColor rgb="FFED7D31"/>
        <bgColor auto="1"/>
      </patternFill>
    </fill>
    <fill>
      <patternFill patternType="solid">
        <fgColor rgb="FF8CDDFA"/>
        <bgColor auto="1"/>
      </patternFill>
    </fill>
    <fill>
      <patternFill patternType="none"/>
    </fill>
    <fill>
      <patternFill patternType="solid">
        <fgColor rgb="FF005CBA"/>
        <bgColor auto="1"/>
      </patternFill>
    </fill>
    <fill>
      <patternFill patternType="solid">
        <fgColor rgb="FF4472C4"/>
        <bgColor auto="1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/>
      <diagonal/>
    </border>
    <border>
      <left style="medium">
        <color rgb="FF000000"/>
      </left>
      <right style="thin">
        <color rgb="FFFFFFFF"/>
      </right>
      <top style="thin">
        <color rgb="FFFFFFFF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6" fillId="3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0" fillId="0" borderId="15" xfId="0" applyBorder="1">
      <alignment vertical="center"/>
    </xf>
    <xf numFmtId="0" fontId="8" fillId="0" borderId="17" xfId="0" applyFont="1" applyBorder="1">
      <alignment vertical="center"/>
    </xf>
    <xf numFmtId="0" fontId="8" fillId="0" borderId="19" xfId="0" applyFont="1" applyBorder="1">
      <alignment vertical="center"/>
    </xf>
    <xf numFmtId="0" fontId="9" fillId="0" borderId="1" xfId="0" applyFont="1" applyBorder="1">
      <alignment vertical="center"/>
    </xf>
    <xf numFmtId="14" fontId="0" fillId="0" borderId="1" xfId="0" applyNumberFormat="1" applyBorder="1">
      <alignment vertical="center"/>
    </xf>
    <xf numFmtId="0" fontId="0" fillId="0" borderId="10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6" xfId="0" applyBorder="1">
      <alignment vertical="center"/>
    </xf>
    <xf numFmtId="0" fontId="9" fillId="6" borderId="1" xfId="0" applyFont="1" applyFill="1" applyBorder="1">
      <alignment vertical="center"/>
    </xf>
    <xf numFmtId="176" fontId="0" fillId="0" borderId="0" xfId="0" applyNumberFormat="1" applyAlignment="1">
      <alignment horizontal="left" vertical="center"/>
    </xf>
    <xf numFmtId="0" fontId="10" fillId="0" borderId="0" xfId="0" applyFo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3" fillId="0" borderId="29" xfId="0" applyFont="1" applyBorder="1" applyAlignment="1">
      <alignment vertical="center" wrapText="1"/>
    </xf>
    <xf numFmtId="176" fontId="12" fillId="0" borderId="1" xfId="0" applyNumberFormat="1" applyFont="1" applyBorder="1" applyAlignment="1">
      <alignment horizontal="left" vertical="center"/>
    </xf>
    <xf numFmtId="0" fontId="12" fillId="0" borderId="29" xfId="0" applyFont="1" applyBorder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0" fontId="12" fillId="0" borderId="22" xfId="0" applyFont="1" applyBorder="1">
      <alignment vertical="center"/>
    </xf>
    <xf numFmtId="0" fontId="12" fillId="0" borderId="30" xfId="0" applyFont="1" applyBorder="1" applyAlignment="1">
      <alignment horizontal="center" vertical="center" wrapText="1"/>
    </xf>
    <xf numFmtId="0" fontId="14" fillId="8" borderId="30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>
      <alignment vertical="center"/>
    </xf>
    <xf numFmtId="0" fontId="12" fillId="0" borderId="3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2" fillId="0" borderId="20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5" fillId="5" borderId="5" xfId="0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8" xfId="0" applyBorder="1">
      <alignment vertical="center"/>
    </xf>
    <xf numFmtId="0" fontId="0" fillId="0" borderId="0" xfId="0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9" xfId="0" applyBorder="1">
      <alignment vertical="center"/>
    </xf>
    <xf numFmtId="0" fontId="0" fillId="0" borderId="16" xfId="0" applyBorder="1">
      <alignment vertical="center"/>
    </xf>
    <xf numFmtId="0" fontId="0" fillId="0" borderId="20" xfId="0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9" xfId="0" applyNumberFormat="1" applyBorder="1">
      <alignment vertical="center"/>
    </xf>
    <xf numFmtId="0" fontId="0" fillId="0" borderId="21" xfId="0" applyBorder="1">
      <alignment vertical="center"/>
    </xf>
    <xf numFmtId="14" fontId="0" fillId="0" borderId="13" xfId="0" applyNumberFormat="1" applyBorder="1">
      <alignment vertical="center"/>
    </xf>
    <xf numFmtId="0" fontId="0" fillId="0" borderId="18" xfId="0" applyBorder="1">
      <alignment vertical="center"/>
    </xf>
    <xf numFmtId="0" fontId="0" fillId="0" borderId="22" xfId="0" applyBorder="1">
      <alignment vertical="center"/>
    </xf>
    <xf numFmtId="0" fontId="9" fillId="0" borderId="9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7" xfId="0" applyBorder="1">
      <alignment vertical="center"/>
    </xf>
    <xf numFmtId="14" fontId="0" fillId="0" borderId="1" xfId="0" applyNumberFormat="1" applyBorder="1">
      <alignment vertical="center"/>
    </xf>
    <xf numFmtId="0" fontId="0" fillId="0" borderId="9" xfId="0" applyBorder="1" applyAlignment="1">
      <alignment horizontal="center" vertical="center"/>
    </xf>
    <xf numFmtId="14" fontId="0" fillId="0" borderId="28" xfId="0" applyNumberFormat="1" applyBorder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时评估表"/>
  <dimension ref="A1:Y194"/>
  <sheetViews>
    <sheetView tabSelected="1" workbookViewId="0">
      <pane xSplit="6" ySplit="2" topLeftCell="G50" activePane="bottomRight" state="frozen"/>
      <selection pane="topRight"/>
      <selection pane="bottomLeft"/>
      <selection pane="bottomRight" activeCell="F65" sqref="F65"/>
    </sheetView>
  </sheetViews>
  <sheetFormatPr defaultRowHeight="14.15"/>
  <cols>
    <col min="1" max="1" width="6.33203125" customWidth="1"/>
    <col min="2" max="2" width="10" customWidth="1"/>
    <col min="3" max="3" width="9" customWidth="1"/>
    <col min="4" max="4" width="12.83203125" customWidth="1"/>
    <col min="5" max="5" width="9.1640625" hidden="1" customWidth="1"/>
    <col min="6" max="6" width="27.5" customWidth="1"/>
    <col min="7" max="7" width="25.9140625" customWidth="1"/>
    <col min="8" max="8" width="16.4140625" customWidth="1"/>
    <col min="9" max="9" width="14.83203125" customWidth="1"/>
    <col min="10" max="11" width="14.6640625" customWidth="1"/>
    <col min="13" max="13" width="15.75" customWidth="1"/>
    <col min="15" max="15" width="14.4140625" customWidth="1"/>
    <col min="16" max="16" width="15.6640625" customWidth="1"/>
    <col min="17" max="17" width="14.58203125" customWidth="1"/>
    <col min="18" max="18" width="9.33203125" customWidth="1"/>
  </cols>
  <sheetData>
    <row r="1" spans="1:25">
      <c r="A1" s="50" t="s">
        <v>18</v>
      </c>
      <c r="B1" s="50" t="s">
        <v>19</v>
      </c>
      <c r="C1" s="50" t="s">
        <v>20</v>
      </c>
      <c r="D1" s="50" t="s">
        <v>21</v>
      </c>
      <c r="E1" s="53" t="s">
        <v>22</v>
      </c>
      <c r="F1" s="50" t="s">
        <v>23</v>
      </c>
      <c r="G1" s="54" t="s">
        <v>24</v>
      </c>
      <c r="H1" s="45" t="s">
        <v>126</v>
      </c>
      <c r="I1" s="46"/>
      <c r="J1" s="46"/>
      <c r="K1" s="46"/>
      <c r="L1" s="46"/>
      <c r="M1" s="46"/>
      <c r="N1" s="59" t="s">
        <v>25</v>
      </c>
      <c r="O1" s="46"/>
      <c r="P1" s="46"/>
      <c r="Q1" s="46"/>
      <c r="R1" s="46"/>
      <c r="S1" s="46"/>
      <c r="T1" s="47" t="s">
        <v>26</v>
      </c>
      <c r="U1" s="48"/>
      <c r="V1" s="48"/>
      <c r="W1" s="48"/>
      <c r="X1" s="48"/>
      <c r="Y1" s="49"/>
    </row>
    <row r="2" spans="1:25">
      <c r="A2" s="51"/>
      <c r="B2" s="52"/>
      <c r="C2" s="52"/>
      <c r="D2" s="52"/>
      <c r="E2" s="51"/>
      <c r="F2" s="52"/>
      <c r="G2" s="51"/>
      <c r="H2" s="5" t="s">
        <v>27</v>
      </c>
      <c r="I2" s="5" t="s">
        <v>28</v>
      </c>
      <c r="J2" s="5" t="s">
        <v>29</v>
      </c>
      <c r="K2" s="6" t="s">
        <v>30</v>
      </c>
      <c r="L2" s="6" t="s">
        <v>31</v>
      </c>
      <c r="M2" s="6" t="s">
        <v>32</v>
      </c>
      <c r="N2" s="7" t="s">
        <v>27</v>
      </c>
      <c r="O2" s="7" t="s">
        <v>28</v>
      </c>
      <c r="P2" s="7" t="s">
        <v>33</v>
      </c>
      <c r="Q2" s="7" t="s">
        <v>30</v>
      </c>
      <c r="R2" s="7" t="s">
        <v>31</v>
      </c>
      <c r="S2" s="7" t="s">
        <v>32</v>
      </c>
      <c r="T2" s="8" t="s">
        <v>27</v>
      </c>
      <c r="U2" s="8" t="s">
        <v>28</v>
      </c>
      <c r="V2" s="8" t="s">
        <v>33</v>
      </c>
      <c r="W2" s="8" t="s">
        <v>30</v>
      </c>
      <c r="X2" s="8" t="s">
        <v>31</v>
      </c>
      <c r="Y2" s="8" t="s">
        <v>32</v>
      </c>
    </row>
    <row r="3" spans="1:25" ht="12.45">
      <c r="B3" s="46" t="s">
        <v>34</v>
      </c>
      <c r="C3" s="55" t="s">
        <v>35</v>
      </c>
      <c r="D3" s="46" t="s">
        <v>36</v>
      </c>
      <c r="E3" s="4"/>
      <c r="F3" s="4" t="s">
        <v>37</v>
      </c>
      <c r="G3" s="9"/>
      <c r="H3" s="60">
        <v>1.5</v>
      </c>
      <c r="I3" s="61">
        <v>45600</v>
      </c>
      <c r="J3" s="61">
        <v>45601</v>
      </c>
      <c r="K3" s="61">
        <v>45601</v>
      </c>
      <c r="L3" s="10" t="s">
        <v>38</v>
      </c>
      <c r="M3" s="4" t="s">
        <v>39</v>
      </c>
      <c r="N3" s="56">
        <v>1.5</v>
      </c>
      <c r="O3" s="63">
        <v>45600</v>
      </c>
      <c r="P3" s="63">
        <v>45601</v>
      </c>
      <c r="Q3" s="61">
        <v>45601</v>
      </c>
      <c r="R3" s="11" t="s">
        <v>38</v>
      </c>
      <c r="S3" s="4" t="s">
        <v>40</v>
      </c>
      <c r="T3" s="12"/>
      <c r="U3" s="4"/>
      <c r="V3" s="4"/>
      <c r="W3" s="4"/>
      <c r="X3" s="4"/>
      <c r="Y3" s="4"/>
    </row>
    <row r="4" spans="1:25" ht="12.45">
      <c r="B4" s="46"/>
      <c r="C4" s="46"/>
      <c r="D4" s="46"/>
      <c r="E4" s="4"/>
      <c r="F4" s="4" t="s">
        <v>41</v>
      </c>
      <c r="G4" s="9"/>
      <c r="H4" s="57"/>
      <c r="I4" s="57"/>
      <c r="J4" s="57"/>
      <c r="K4" s="57"/>
      <c r="L4" s="13" t="s">
        <v>38</v>
      </c>
      <c r="M4" s="4" t="s">
        <v>39</v>
      </c>
      <c r="N4" s="57"/>
      <c r="O4" s="64"/>
      <c r="P4" s="64"/>
      <c r="Q4" s="57"/>
      <c r="R4" s="11" t="s">
        <v>38</v>
      </c>
      <c r="S4" s="4" t="s">
        <v>40</v>
      </c>
      <c r="T4" s="12"/>
      <c r="U4" s="4"/>
      <c r="V4" s="4"/>
      <c r="W4" s="4"/>
      <c r="X4" s="4"/>
      <c r="Y4" s="4"/>
    </row>
    <row r="5" spans="1:25" ht="12.45">
      <c r="B5" s="46"/>
      <c r="C5" s="46"/>
      <c r="D5" s="46"/>
      <c r="E5" s="4"/>
      <c r="F5" s="4" t="s">
        <v>42</v>
      </c>
      <c r="G5" s="9"/>
      <c r="H5" s="57"/>
      <c r="I5" s="57"/>
      <c r="J5" s="57"/>
      <c r="K5" s="57"/>
      <c r="L5" s="13" t="s">
        <v>38</v>
      </c>
      <c r="M5" s="4" t="s">
        <v>39</v>
      </c>
      <c r="N5" s="57"/>
      <c r="O5" s="64"/>
      <c r="P5" s="64"/>
      <c r="Q5" s="57"/>
      <c r="R5" s="11" t="s">
        <v>38</v>
      </c>
      <c r="S5" s="4" t="s">
        <v>40</v>
      </c>
      <c r="T5" s="12"/>
      <c r="U5" s="4"/>
      <c r="V5" s="4"/>
      <c r="W5" s="4"/>
      <c r="X5" s="4"/>
      <c r="Y5" s="4"/>
    </row>
    <row r="6" spans="1:25" ht="12.45">
      <c r="B6" s="46"/>
      <c r="C6" s="46"/>
      <c r="D6" s="46"/>
      <c r="E6" s="4"/>
      <c r="F6" s="4" t="s">
        <v>43</v>
      </c>
      <c r="G6" s="9"/>
      <c r="H6" s="57"/>
      <c r="I6" s="57"/>
      <c r="J6" s="57"/>
      <c r="K6" s="57"/>
      <c r="L6" s="13" t="s">
        <v>38</v>
      </c>
      <c r="M6" s="4" t="s">
        <v>39</v>
      </c>
      <c r="N6" s="57"/>
      <c r="O6" s="64"/>
      <c r="P6" s="64"/>
      <c r="Q6" s="57"/>
      <c r="R6" s="11" t="s">
        <v>38</v>
      </c>
      <c r="S6" s="4" t="s">
        <v>40</v>
      </c>
      <c r="T6" s="12"/>
      <c r="U6" s="4"/>
      <c r="V6" s="4"/>
      <c r="W6" s="4"/>
      <c r="X6" s="4"/>
      <c r="Y6" s="4"/>
    </row>
    <row r="7" spans="1:25" ht="12.45">
      <c r="B7" s="46"/>
      <c r="C7" s="46"/>
      <c r="D7" s="46"/>
      <c r="E7" s="4"/>
      <c r="F7" s="4" t="s">
        <v>44</v>
      </c>
      <c r="G7" s="9"/>
      <c r="H7" s="57"/>
      <c r="I7" s="57"/>
      <c r="J7" s="57"/>
      <c r="K7" s="57"/>
      <c r="L7" s="13" t="s">
        <v>38</v>
      </c>
      <c r="M7" s="4" t="s">
        <v>39</v>
      </c>
      <c r="N7" s="57"/>
      <c r="O7" s="64"/>
      <c r="P7" s="64"/>
      <c r="Q7" s="57"/>
      <c r="R7" s="11" t="s">
        <v>38</v>
      </c>
      <c r="S7" s="4" t="s">
        <v>40</v>
      </c>
      <c r="T7" s="12"/>
      <c r="U7" s="4"/>
      <c r="V7" s="4"/>
      <c r="W7" s="4"/>
      <c r="X7" s="4"/>
      <c r="Y7" s="4"/>
    </row>
    <row r="8" spans="1:25" ht="12.45">
      <c r="B8" s="46"/>
      <c r="C8" s="46"/>
      <c r="D8" s="46" t="s">
        <v>45</v>
      </c>
      <c r="E8" s="4"/>
      <c r="F8" s="4" t="s">
        <v>37</v>
      </c>
      <c r="G8" s="9"/>
      <c r="H8" s="57"/>
      <c r="I8" s="57"/>
      <c r="J8" s="57"/>
      <c r="K8" s="57"/>
      <c r="L8" s="13" t="s">
        <v>38</v>
      </c>
      <c r="M8" s="4" t="s">
        <v>39</v>
      </c>
      <c r="N8" s="57"/>
      <c r="O8" s="64"/>
      <c r="P8" s="64"/>
      <c r="Q8" s="57"/>
      <c r="R8" s="11" t="s">
        <v>38</v>
      </c>
      <c r="S8" s="4" t="s">
        <v>40</v>
      </c>
      <c r="T8" s="12"/>
      <c r="U8" s="4"/>
      <c r="V8" s="4"/>
      <c r="W8" s="4"/>
      <c r="X8" s="4"/>
      <c r="Y8" s="4"/>
    </row>
    <row r="9" spans="1:25" ht="12.45">
      <c r="B9" s="46"/>
      <c r="C9" s="46"/>
      <c r="D9" s="46"/>
      <c r="E9" s="4"/>
      <c r="F9" s="4" t="s">
        <v>41</v>
      </c>
      <c r="G9" s="9"/>
      <c r="H9" s="57"/>
      <c r="I9" s="57"/>
      <c r="J9" s="57"/>
      <c r="K9" s="57"/>
      <c r="L9" s="13" t="s">
        <v>38</v>
      </c>
      <c r="M9" s="4" t="s">
        <v>39</v>
      </c>
      <c r="N9" s="57"/>
      <c r="O9" s="64"/>
      <c r="P9" s="64"/>
      <c r="Q9" s="57"/>
      <c r="R9" s="11" t="s">
        <v>38</v>
      </c>
      <c r="S9" s="4" t="s">
        <v>40</v>
      </c>
      <c r="T9" s="12"/>
      <c r="U9" s="4"/>
      <c r="V9" s="4"/>
      <c r="W9" s="4"/>
      <c r="X9" s="4"/>
      <c r="Y9" s="4"/>
    </row>
    <row r="10" spans="1:25" ht="12.45">
      <c r="B10" s="46"/>
      <c r="C10" s="46"/>
      <c r="D10" s="46"/>
      <c r="E10" s="4"/>
      <c r="F10" s="4" t="s">
        <v>42</v>
      </c>
      <c r="G10" s="9"/>
      <c r="H10" s="57"/>
      <c r="I10" s="57"/>
      <c r="J10" s="57"/>
      <c r="K10" s="57"/>
      <c r="L10" s="14" t="s">
        <v>38</v>
      </c>
      <c r="M10" s="4" t="s">
        <v>39</v>
      </c>
      <c r="N10" s="57"/>
      <c r="O10" s="64"/>
      <c r="P10" s="64"/>
      <c r="Q10" s="57"/>
      <c r="R10" s="11" t="s">
        <v>38</v>
      </c>
      <c r="S10" s="4" t="s">
        <v>40</v>
      </c>
      <c r="T10" s="12"/>
      <c r="U10" s="4"/>
      <c r="V10" s="4"/>
      <c r="W10" s="4"/>
      <c r="X10" s="4"/>
      <c r="Y10" s="4"/>
    </row>
    <row r="11" spans="1:25" ht="12.45">
      <c r="B11" s="46"/>
      <c r="C11" s="46"/>
      <c r="D11" s="46"/>
      <c r="E11" s="4"/>
      <c r="F11" s="4" t="s">
        <v>43</v>
      </c>
      <c r="G11" s="9"/>
      <c r="H11" s="57"/>
      <c r="I11" s="57"/>
      <c r="J11" s="57"/>
      <c r="K11" s="57"/>
      <c r="L11" s="14" t="s">
        <v>38</v>
      </c>
      <c r="M11" s="4" t="s">
        <v>39</v>
      </c>
      <c r="N11" s="57"/>
      <c r="O11" s="64"/>
      <c r="P11" s="64"/>
      <c r="Q11" s="57"/>
      <c r="R11" s="11" t="s">
        <v>38</v>
      </c>
      <c r="S11" s="4" t="s">
        <v>40</v>
      </c>
      <c r="T11" s="12"/>
      <c r="U11" s="4"/>
      <c r="V11" s="4"/>
      <c r="W11" s="4"/>
      <c r="X11" s="4"/>
      <c r="Y11" s="4"/>
    </row>
    <row r="12" spans="1:25" ht="12.45">
      <c r="B12" s="46"/>
      <c r="C12" s="46"/>
      <c r="D12" s="46"/>
      <c r="E12" s="4"/>
      <c r="F12" s="4" t="s">
        <v>44</v>
      </c>
      <c r="G12" s="9"/>
      <c r="H12" s="57"/>
      <c r="I12" s="57"/>
      <c r="J12" s="57"/>
      <c r="K12" s="57"/>
      <c r="L12" s="14" t="s">
        <v>38</v>
      </c>
      <c r="M12" s="4" t="s">
        <v>39</v>
      </c>
      <c r="N12" s="57"/>
      <c r="O12" s="64"/>
      <c r="P12" s="64"/>
      <c r="Q12" s="57"/>
      <c r="R12" s="11" t="s">
        <v>38</v>
      </c>
      <c r="S12" s="4" t="s">
        <v>40</v>
      </c>
      <c r="T12" s="12"/>
      <c r="U12" s="4"/>
      <c r="V12" s="4"/>
      <c r="W12" s="4"/>
      <c r="X12" s="4"/>
      <c r="Y12" s="4"/>
    </row>
    <row r="13" spans="1:25" ht="12.45">
      <c r="B13" s="46"/>
      <c r="C13" s="46"/>
      <c r="D13" s="46" t="s">
        <v>46</v>
      </c>
      <c r="E13" s="4"/>
      <c r="F13" s="15" t="s">
        <v>37</v>
      </c>
      <c r="G13" s="9"/>
      <c r="H13" s="57"/>
      <c r="I13" s="57"/>
      <c r="J13" s="57"/>
      <c r="K13" s="57"/>
      <c r="L13" s="14" t="s">
        <v>38</v>
      </c>
      <c r="M13" s="4" t="s">
        <v>39</v>
      </c>
      <c r="N13" s="57"/>
      <c r="O13" s="64"/>
      <c r="P13" s="64"/>
      <c r="Q13" s="57"/>
      <c r="R13" s="11" t="s">
        <v>38</v>
      </c>
      <c r="S13" s="4" t="s">
        <v>40</v>
      </c>
      <c r="T13" s="12"/>
      <c r="U13" s="4"/>
      <c r="V13" s="4"/>
      <c r="W13" s="4"/>
      <c r="X13" s="4"/>
      <c r="Y13" s="4"/>
    </row>
    <row r="14" spans="1:25" ht="12.45">
      <c r="B14" s="46"/>
      <c r="C14" s="46"/>
      <c r="D14" s="46"/>
      <c r="E14" s="4"/>
      <c r="F14" s="4" t="s">
        <v>41</v>
      </c>
      <c r="G14" s="9"/>
      <c r="H14" s="57"/>
      <c r="I14" s="57"/>
      <c r="J14" s="57"/>
      <c r="K14" s="57"/>
      <c r="L14" s="14" t="s">
        <v>38</v>
      </c>
      <c r="M14" s="4" t="s">
        <v>39</v>
      </c>
      <c r="N14" s="57"/>
      <c r="O14" s="64"/>
      <c r="P14" s="64"/>
      <c r="Q14" s="57"/>
      <c r="R14" s="11" t="s">
        <v>38</v>
      </c>
      <c r="S14" s="4" t="s">
        <v>40</v>
      </c>
      <c r="T14" s="12"/>
      <c r="U14" s="4"/>
      <c r="V14" s="4"/>
      <c r="W14" s="4"/>
      <c r="X14" s="4"/>
      <c r="Y14" s="4"/>
    </row>
    <row r="15" spans="1:25" ht="12.45">
      <c r="B15" s="46"/>
      <c r="C15" s="46"/>
      <c r="D15" s="46"/>
      <c r="E15" s="4"/>
      <c r="F15" s="4" t="s">
        <v>42</v>
      </c>
      <c r="G15" s="9"/>
      <c r="H15" s="57"/>
      <c r="I15" s="57"/>
      <c r="J15" s="57"/>
      <c r="K15" s="57"/>
      <c r="L15" s="14" t="s">
        <v>38</v>
      </c>
      <c r="M15" s="4" t="s">
        <v>39</v>
      </c>
      <c r="N15" s="57"/>
      <c r="O15" s="64"/>
      <c r="P15" s="64"/>
      <c r="Q15" s="57"/>
      <c r="R15" s="11" t="s">
        <v>38</v>
      </c>
      <c r="S15" s="4" t="s">
        <v>40</v>
      </c>
      <c r="T15" s="12"/>
      <c r="U15" s="4"/>
      <c r="V15" s="4"/>
      <c r="W15" s="4"/>
      <c r="X15" s="4"/>
      <c r="Y15" s="4"/>
    </row>
    <row r="16" spans="1:25" ht="12.45">
      <c r="B16" s="46"/>
      <c r="C16" s="46"/>
      <c r="D16" s="46"/>
      <c r="E16" s="4"/>
      <c r="F16" s="4" t="s">
        <v>43</v>
      </c>
      <c r="G16" s="9"/>
      <c r="H16" s="57"/>
      <c r="I16" s="57"/>
      <c r="J16" s="57"/>
      <c r="K16" s="57"/>
      <c r="L16" s="14" t="s">
        <v>38</v>
      </c>
      <c r="M16" s="4" t="s">
        <v>39</v>
      </c>
      <c r="N16" s="57"/>
      <c r="O16" s="64"/>
      <c r="P16" s="64"/>
      <c r="Q16" s="57"/>
      <c r="R16" s="11" t="s">
        <v>38</v>
      </c>
      <c r="S16" s="4" t="s">
        <v>40</v>
      </c>
      <c r="T16" s="12"/>
      <c r="U16" s="4"/>
      <c r="V16" s="4"/>
      <c r="W16" s="4"/>
      <c r="X16" s="4"/>
      <c r="Y16" s="4"/>
    </row>
    <row r="17" spans="2:25" ht="12.45">
      <c r="B17" s="46"/>
      <c r="C17" s="46"/>
      <c r="D17" s="46"/>
      <c r="E17" s="4"/>
      <c r="F17" s="4" t="s">
        <v>44</v>
      </c>
      <c r="G17" s="9"/>
      <c r="H17" s="57"/>
      <c r="I17" s="57"/>
      <c r="J17" s="57"/>
      <c r="K17" s="57"/>
      <c r="L17" s="14" t="s">
        <v>38</v>
      </c>
      <c r="M17" s="4" t="s">
        <v>39</v>
      </c>
      <c r="N17" s="57"/>
      <c r="O17" s="64"/>
      <c r="P17" s="64"/>
      <c r="Q17" s="57"/>
      <c r="R17" s="11" t="s">
        <v>38</v>
      </c>
      <c r="S17" s="4" t="s">
        <v>40</v>
      </c>
      <c r="T17" s="12"/>
      <c r="U17" s="4"/>
      <c r="V17" s="4"/>
      <c r="W17" s="4"/>
      <c r="X17" s="4"/>
      <c r="Y17" s="4"/>
    </row>
    <row r="18" spans="2:25" ht="12.45">
      <c r="B18" s="46"/>
      <c r="C18" s="46"/>
      <c r="D18" s="46" t="s">
        <v>47</v>
      </c>
      <c r="E18" s="4"/>
      <c r="F18" s="4" t="s">
        <v>37</v>
      </c>
      <c r="G18" s="9"/>
      <c r="H18" s="57"/>
      <c r="I18" s="57"/>
      <c r="J18" s="57"/>
      <c r="K18" s="57"/>
      <c r="L18" s="14" t="s">
        <v>38</v>
      </c>
      <c r="M18" s="4" t="s">
        <v>39</v>
      </c>
      <c r="N18" s="57"/>
      <c r="O18" s="64"/>
      <c r="P18" s="64"/>
      <c r="Q18" s="57"/>
      <c r="R18" s="11" t="s">
        <v>38</v>
      </c>
      <c r="S18" s="4" t="s">
        <v>40</v>
      </c>
      <c r="T18" s="12"/>
      <c r="U18" s="4"/>
      <c r="V18" s="4"/>
      <c r="W18" s="4"/>
      <c r="X18" s="4"/>
      <c r="Y18" s="4"/>
    </row>
    <row r="19" spans="2:25" ht="12.45">
      <c r="B19" s="46"/>
      <c r="C19" s="46"/>
      <c r="D19" s="46"/>
      <c r="E19" s="4"/>
      <c r="F19" s="4" t="s">
        <v>41</v>
      </c>
      <c r="G19" s="9"/>
      <c r="H19" s="57"/>
      <c r="I19" s="57"/>
      <c r="J19" s="57"/>
      <c r="K19" s="57"/>
      <c r="L19" s="14" t="s">
        <v>38</v>
      </c>
      <c r="M19" s="4" t="s">
        <v>39</v>
      </c>
      <c r="N19" s="57"/>
      <c r="O19" s="64"/>
      <c r="P19" s="64"/>
      <c r="Q19" s="57"/>
      <c r="R19" s="11" t="s">
        <v>38</v>
      </c>
      <c r="S19" s="4" t="s">
        <v>40</v>
      </c>
      <c r="T19" s="12"/>
      <c r="U19" s="4"/>
      <c r="V19" s="4"/>
      <c r="W19" s="4"/>
      <c r="X19" s="4"/>
      <c r="Y19" s="4"/>
    </row>
    <row r="20" spans="2:25" ht="12.45">
      <c r="B20" s="46"/>
      <c r="C20" s="46"/>
      <c r="D20" s="46"/>
      <c r="E20" s="4"/>
      <c r="F20" s="4" t="s">
        <v>42</v>
      </c>
      <c r="G20" s="9"/>
      <c r="H20" s="57"/>
      <c r="I20" s="57"/>
      <c r="J20" s="57"/>
      <c r="K20" s="57"/>
      <c r="L20" s="14" t="s">
        <v>38</v>
      </c>
      <c r="M20" s="4" t="s">
        <v>39</v>
      </c>
      <c r="N20" s="57"/>
      <c r="O20" s="64"/>
      <c r="P20" s="64"/>
      <c r="Q20" s="57"/>
      <c r="R20" s="11" t="s">
        <v>38</v>
      </c>
      <c r="S20" s="4" t="s">
        <v>40</v>
      </c>
      <c r="T20" s="12"/>
      <c r="U20" s="4"/>
      <c r="V20" s="4"/>
      <c r="W20" s="4"/>
      <c r="X20" s="4"/>
      <c r="Y20" s="4"/>
    </row>
    <row r="21" spans="2:25" ht="12.45">
      <c r="B21" s="46"/>
      <c r="C21" s="46"/>
      <c r="D21" s="46"/>
      <c r="E21" s="4"/>
      <c r="F21" s="4" t="s">
        <v>43</v>
      </c>
      <c r="G21" s="9"/>
      <c r="H21" s="57"/>
      <c r="I21" s="57"/>
      <c r="J21" s="57"/>
      <c r="K21" s="57"/>
      <c r="L21" s="14" t="s">
        <v>38</v>
      </c>
      <c r="M21" s="4" t="s">
        <v>39</v>
      </c>
      <c r="N21" s="57"/>
      <c r="O21" s="64"/>
      <c r="P21" s="64"/>
      <c r="Q21" s="57"/>
      <c r="R21" s="11" t="s">
        <v>38</v>
      </c>
      <c r="S21" s="4" t="s">
        <v>40</v>
      </c>
      <c r="T21" s="12"/>
      <c r="U21" s="4"/>
      <c r="V21" s="4"/>
      <c r="W21" s="4"/>
      <c r="X21" s="4"/>
      <c r="Y21" s="4"/>
    </row>
    <row r="22" spans="2:25" ht="12.45">
      <c r="B22" s="46"/>
      <c r="C22" s="46"/>
      <c r="D22" s="46"/>
      <c r="E22" s="4"/>
      <c r="F22" s="4" t="s">
        <v>44</v>
      </c>
      <c r="G22" s="9"/>
      <c r="H22" s="58"/>
      <c r="I22" s="62"/>
      <c r="J22" s="62"/>
      <c r="K22" s="58"/>
      <c r="L22" s="11" t="s">
        <v>38</v>
      </c>
      <c r="M22" s="4" t="s">
        <v>39</v>
      </c>
      <c r="N22" s="58"/>
      <c r="O22" s="65"/>
      <c r="P22" s="65"/>
      <c r="Q22" s="58"/>
      <c r="R22" s="11" t="s">
        <v>38</v>
      </c>
      <c r="S22" s="4" t="s">
        <v>40</v>
      </c>
      <c r="T22" s="12"/>
      <c r="U22" s="4"/>
      <c r="V22" s="4"/>
      <c r="W22" s="4"/>
      <c r="X22" s="4"/>
      <c r="Y22" s="4"/>
    </row>
    <row r="23" spans="2:25" ht="12.45">
      <c r="B23" s="46"/>
      <c r="C23" s="55" t="s">
        <v>48</v>
      </c>
      <c r="D23" s="46" t="s">
        <v>49</v>
      </c>
      <c r="E23" s="4"/>
      <c r="F23" s="4" t="s">
        <v>50</v>
      </c>
      <c r="G23" s="9"/>
      <c r="H23" s="67">
        <v>3</v>
      </c>
      <c r="I23" s="70">
        <v>45601</v>
      </c>
      <c r="J23" s="70">
        <v>45604</v>
      </c>
      <c r="K23" s="12"/>
      <c r="L23" s="11" t="s">
        <v>38</v>
      </c>
      <c r="M23" s="4" t="s">
        <v>39</v>
      </c>
      <c r="N23" s="71">
        <v>3.5</v>
      </c>
      <c r="O23" s="61">
        <v>45601</v>
      </c>
      <c r="P23" s="61">
        <v>45604</v>
      </c>
      <c r="Q23" s="4"/>
      <c r="R23" s="11" t="s">
        <v>38</v>
      </c>
      <c r="S23" s="4" t="s">
        <v>40</v>
      </c>
      <c r="T23" s="12"/>
      <c r="U23" s="4"/>
      <c r="V23" s="4"/>
      <c r="W23" s="4"/>
      <c r="X23" s="4"/>
      <c r="Y23" s="4"/>
    </row>
    <row r="24" spans="2:25" ht="12.45">
      <c r="B24" s="46"/>
      <c r="C24" s="46"/>
      <c r="D24" s="46"/>
      <c r="E24" s="4"/>
      <c r="F24" s="4" t="s">
        <v>51</v>
      </c>
      <c r="G24" s="9"/>
      <c r="H24" s="68"/>
      <c r="I24" s="46"/>
      <c r="J24" s="46"/>
      <c r="K24" s="12"/>
      <c r="L24" s="11" t="s">
        <v>38</v>
      </c>
      <c r="M24" s="4" t="s">
        <v>39</v>
      </c>
      <c r="N24" s="57"/>
      <c r="O24" s="57"/>
      <c r="P24" s="57"/>
      <c r="Q24" s="4"/>
      <c r="R24" s="11" t="s">
        <v>38</v>
      </c>
      <c r="S24" s="4" t="s">
        <v>40</v>
      </c>
      <c r="T24" s="12"/>
      <c r="U24" s="4"/>
      <c r="V24" s="4"/>
      <c r="W24" s="4"/>
      <c r="X24" s="4"/>
      <c r="Y24" s="4"/>
    </row>
    <row r="25" spans="2:25" ht="12.45">
      <c r="B25" s="46"/>
      <c r="C25" s="46"/>
      <c r="D25" s="46"/>
      <c r="E25" s="4"/>
      <c r="F25" s="4" t="s">
        <v>52</v>
      </c>
      <c r="G25" s="9"/>
      <c r="H25" s="68"/>
      <c r="I25" s="46"/>
      <c r="J25" s="46"/>
      <c r="K25" s="12"/>
      <c r="L25" s="11" t="s">
        <v>38</v>
      </c>
      <c r="M25" s="4" t="s">
        <v>39</v>
      </c>
      <c r="N25" s="57"/>
      <c r="O25" s="57"/>
      <c r="P25" s="57"/>
      <c r="Q25" s="4"/>
      <c r="R25" s="11" t="s">
        <v>38</v>
      </c>
      <c r="S25" s="4" t="s">
        <v>40</v>
      </c>
      <c r="T25" s="12"/>
      <c r="U25" s="4"/>
      <c r="V25" s="4"/>
      <c r="W25" s="4"/>
      <c r="X25" s="4"/>
      <c r="Y25" s="4"/>
    </row>
    <row r="26" spans="2:25" ht="12.45">
      <c r="B26" s="46"/>
      <c r="C26" s="46"/>
      <c r="D26" s="46"/>
      <c r="E26" s="4"/>
      <c r="F26" s="4" t="s">
        <v>53</v>
      </c>
      <c r="G26" s="9"/>
      <c r="H26" s="68"/>
      <c r="I26" s="46"/>
      <c r="J26" s="46"/>
      <c r="K26" s="12"/>
      <c r="L26" s="11" t="s">
        <v>38</v>
      </c>
      <c r="M26" s="4" t="s">
        <v>39</v>
      </c>
      <c r="N26" s="57"/>
      <c r="O26" s="57"/>
      <c r="P26" s="57"/>
      <c r="Q26" s="4"/>
      <c r="R26" s="11" t="s">
        <v>38</v>
      </c>
      <c r="S26" s="4" t="s">
        <v>40</v>
      </c>
      <c r="T26" s="12"/>
      <c r="U26" s="4"/>
      <c r="V26" s="4"/>
      <c r="W26" s="4"/>
      <c r="X26" s="4"/>
      <c r="Y26" s="4"/>
    </row>
    <row r="27" spans="2:25" ht="12.45">
      <c r="B27" s="46"/>
      <c r="C27" s="46"/>
      <c r="D27" s="46"/>
      <c r="E27" s="4"/>
      <c r="F27" s="4" t="s">
        <v>54</v>
      </c>
      <c r="G27" s="9"/>
      <c r="H27" s="68"/>
      <c r="I27" s="46"/>
      <c r="J27" s="46"/>
      <c r="K27" s="12"/>
      <c r="L27" s="11" t="s">
        <v>38</v>
      </c>
      <c r="M27" s="4" t="s">
        <v>39</v>
      </c>
      <c r="N27" s="57"/>
      <c r="O27" s="57"/>
      <c r="P27" s="57"/>
      <c r="Q27" s="4"/>
      <c r="R27" s="11" t="s">
        <v>38</v>
      </c>
      <c r="S27" s="4" t="s">
        <v>40</v>
      </c>
      <c r="T27" s="12"/>
      <c r="U27" s="4"/>
      <c r="V27" s="4"/>
      <c r="W27" s="4"/>
      <c r="X27" s="4"/>
      <c r="Y27" s="4"/>
    </row>
    <row r="28" spans="2:25" ht="12.45">
      <c r="B28" s="46"/>
      <c r="C28" s="46"/>
      <c r="D28" s="46"/>
      <c r="E28" s="4"/>
      <c r="F28" s="4" t="s">
        <v>55</v>
      </c>
      <c r="G28" s="9"/>
      <c r="H28" s="68"/>
      <c r="I28" s="46"/>
      <c r="J28" s="46"/>
      <c r="K28" s="12"/>
      <c r="L28" s="11" t="s">
        <v>38</v>
      </c>
      <c r="M28" s="4" t="s">
        <v>39</v>
      </c>
      <c r="N28" s="57"/>
      <c r="O28" s="57"/>
      <c r="P28" s="57"/>
      <c r="Q28" s="4"/>
      <c r="R28" s="11" t="s">
        <v>38</v>
      </c>
      <c r="S28" s="4" t="s">
        <v>40</v>
      </c>
      <c r="T28" s="12"/>
      <c r="U28" s="4"/>
      <c r="V28" s="4"/>
      <c r="W28" s="4"/>
      <c r="X28" s="4"/>
      <c r="Y28" s="4"/>
    </row>
    <row r="29" spans="2:25" ht="12.45">
      <c r="B29" s="46"/>
      <c r="C29" s="46"/>
      <c r="D29" s="46"/>
      <c r="E29" s="4"/>
      <c r="F29" s="4" t="s">
        <v>56</v>
      </c>
      <c r="G29" s="9" t="s">
        <v>57</v>
      </c>
      <c r="H29" s="68"/>
      <c r="I29" s="46"/>
      <c r="J29" s="46"/>
      <c r="K29" s="12"/>
      <c r="L29" s="11" t="s">
        <v>38</v>
      </c>
      <c r="M29" s="4" t="s">
        <v>39</v>
      </c>
      <c r="N29" s="57"/>
      <c r="O29" s="57"/>
      <c r="P29" s="57"/>
      <c r="Q29" s="4"/>
      <c r="R29" s="11" t="s">
        <v>38</v>
      </c>
      <c r="S29" s="4" t="s">
        <v>40</v>
      </c>
      <c r="T29" s="12"/>
      <c r="U29" s="4"/>
      <c r="V29" s="4"/>
      <c r="W29" s="4"/>
      <c r="X29" s="4"/>
      <c r="Y29" s="4"/>
    </row>
    <row r="30" spans="2:25" ht="27.75" customHeight="1">
      <c r="B30" s="46"/>
      <c r="C30" s="46"/>
      <c r="D30" s="46"/>
      <c r="E30" s="4"/>
      <c r="F30" s="56" t="s">
        <v>58</v>
      </c>
      <c r="G30" s="17" t="s">
        <v>59</v>
      </c>
      <c r="H30" s="68"/>
      <c r="I30" s="46"/>
      <c r="J30" s="46"/>
      <c r="K30" s="12"/>
      <c r="L30" s="11" t="s">
        <v>38</v>
      </c>
      <c r="M30" s="4" t="s">
        <v>39</v>
      </c>
      <c r="N30" s="57"/>
      <c r="O30" s="57"/>
      <c r="P30" s="57"/>
      <c r="Q30" s="4"/>
      <c r="R30" s="11" t="s">
        <v>38</v>
      </c>
      <c r="S30" s="4" t="s">
        <v>40</v>
      </c>
      <c r="T30" s="12"/>
      <c r="U30" s="4"/>
      <c r="V30" s="4"/>
      <c r="W30" s="4"/>
      <c r="X30" s="4"/>
      <c r="Y30" s="4"/>
    </row>
    <row r="31" spans="2:25" ht="12.45">
      <c r="B31" s="46"/>
      <c r="C31" s="55"/>
      <c r="D31" s="46"/>
      <c r="E31" s="4"/>
      <c r="F31" s="57"/>
      <c r="G31" s="18" t="s">
        <v>60</v>
      </c>
      <c r="H31" s="68"/>
      <c r="I31" s="46"/>
      <c r="J31" s="46"/>
      <c r="K31" s="12"/>
      <c r="L31" s="11" t="s">
        <v>38</v>
      </c>
      <c r="M31" s="4" t="s">
        <v>39</v>
      </c>
      <c r="N31" s="57"/>
      <c r="O31" s="57"/>
      <c r="P31" s="57"/>
      <c r="Q31" s="4"/>
      <c r="R31" s="11" t="s">
        <v>38</v>
      </c>
      <c r="S31" s="4" t="s">
        <v>40</v>
      </c>
      <c r="T31" s="19"/>
      <c r="U31" s="4"/>
      <c r="V31" s="4"/>
      <c r="W31" s="4"/>
      <c r="X31" s="4"/>
      <c r="Y31" s="4"/>
    </row>
    <row r="32" spans="2:25" ht="12.45">
      <c r="B32" s="46"/>
      <c r="C32" s="55"/>
      <c r="D32" s="46"/>
      <c r="E32" s="4"/>
      <c r="F32" s="57"/>
      <c r="G32" s="18" t="s">
        <v>61</v>
      </c>
      <c r="H32" s="68"/>
      <c r="I32" s="46"/>
      <c r="J32" s="46"/>
      <c r="K32" s="12"/>
      <c r="L32" s="11" t="s">
        <v>38</v>
      </c>
      <c r="M32" s="4" t="s">
        <v>39</v>
      </c>
      <c r="N32" s="57"/>
      <c r="O32" s="57"/>
      <c r="P32" s="57"/>
      <c r="Q32" s="4"/>
      <c r="R32" s="11" t="s">
        <v>38</v>
      </c>
      <c r="S32" s="4" t="s">
        <v>40</v>
      </c>
      <c r="T32" s="19"/>
      <c r="U32" s="4"/>
      <c r="V32" s="4"/>
      <c r="W32" s="4"/>
      <c r="X32" s="4"/>
      <c r="Y32" s="4"/>
    </row>
    <row r="33" spans="2:25" ht="12.45">
      <c r="B33" s="46"/>
      <c r="C33" s="46"/>
      <c r="D33" s="46"/>
      <c r="E33" s="4"/>
      <c r="F33" s="58"/>
      <c r="G33" s="9" t="s">
        <v>62</v>
      </c>
      <c r="H33" s="68"/>
      <c r="I33" s="46"/>
      <c r="J33" s="46"/>
      <c r="K33" s="12"/>
      <c r="L33" s="11" t="s">
        <v>38</v>
      </c>
      <c r="M33" s="4" t="s">
        <v>39</v>
      </c>
      <c r="N33" s="57"/>
      <c r="O33" s="57"/>
      <c r="P33" s="57"/>
      <c r="Q33" s="4"/>
      <c r="R33" s="11" t="s">
        <v>38</v>
      </c>
      <c r="S33" s="4" t="s">
        <v>40</v>
      </c>
      <c r="T33" s="12"/>
      <c r="U33" s="4"/>
      <c r="V33" s="4"/>
      <c r="W33" s="4"/>
      <c r="X33" s="4"/>
      <c r="Y33" s="4"/>
    </row>
    <row r="34" spans="2:25" ht="12.45">
      <c r="B34" s="46"/>
      <c r="C34" s="46"/>
      <c r="D34" s="46"/>
      <c r="E34" s="4"/>
      <c r="F34" s="4" t="s">
        <v>63</v>
      </c>
      <c r="G34" s="9" t="s">
        <v>64</v>
      </c>
      <c r="H34" s="68"/>
      <c r="I34" s="46"/>
      <c r="J34" s="46"/>
      <c r="K34" s="12"/>
      <c r="L34" s="11" t="s">
        <v>38</v>
      </c>
      <c r="M34" s="4" t="s">
        <v>39</v>
      </c>
      <c r="N34" s="57"/>
      <c r="O34" s="57"/>
      <c r="P34" s="57"/>
      <c r="Q34" s="4"/>
      <c r="R34" s="11" t="s">
        <v>38</v>
      </c>
      <c r="S34" s="4" t="s">
        <v>40</v>
      </c>
      <c r="T34" s="12"/>
      <c r="U34" s="4"/>
      <c r="V34" s="4"/>
      <c r="W34" s="4"/>
      <c r="X34" s="4"/>
      <c r="Y34" s="4"/>
    </row>
    <row r="35" spans="2:25" ht="12.45">
      <c r="B35" s="46"/>
      <c r="C35" s="46"/>
      <c r="D35" s="46"/>
      <c r="E35" s="4"/>
      <c r="F35" s="4" t="s">
        <v>65</v>
      </c>
      <c r="G35" s="9"/>
      <c r="H35" s="68"/>
      <c r="I35" s="46"/>
      <c r="J35" s="46"/>
      <c r="K35" s="12"/>
      <c r="L35" s="11" t="s">
        <v>38</v>
      </c>
      <c r="M35" s="4" t="s">
        <v>39</v>
      </c>
      <c r="N35" s="57"/>
      <c r="O35" s="57"/>
      <c r="P35" s="57"/>
      <c r="Q35" s="4"/>
      <c r="R35" s="11" t="s">
        <v>38</v>
      </c>
      <c r="S35" s="4" t="s">
        <v>40</v>
      </c>
      <c r="T35" s="12"/>
      <c r="U35" s="4"/>
      <c r="V35" s="4"/>
      <c r="W35" s="4"/>
      <c r="X35" s="4"/>
      <c r="Y35" s="4"/>
    </row>
    <row r="36" spans="2:25" ht="12.45">
      <c r="B36" s="46"/>
      <c r="C36" s="46"/>
      <c r="D36" s="46"/>
      <c r="E36" s="4"/>
      <c r="F36" s="4" t="s">
        <v>66</v>
      </c>
      <c r="G36" s="9" t="s">
        <v>67</v>
      </c>
      <c r="H36" s="68"/>
      <c r="I36" s="46"/>
      <c r="J36" s="46"/>
      <c r="K36" s="12"/>
      <c r="L36" s="11" t="s">
        <v>38</v>
      </c>
      <c r="M36" s="4" t="s">
        <v>39</v>
      </c>
      <c r="N36" s="57"/>
      <c r="O36" s="57"/>
      <c r="P36" s="57"/>
      <c r="Q36" s="4"/>
      <c r="R36" s="11" t="s">
        <v>38</v>
      </c>
      <c r="S36" s="4" t="s">
        <v>40</v>
      </c>
      <c r="T36" s="12"/>
      <c r="U36" s="4"/>
      <c r="V36" s="4"/>
      <c r="W36" s="4"/>
      <c r="X36" s="4"/>
      <c r="Y36" s="4"/>
    </row>
    <row r="37" spans="2:25" ht="12.45">
      <c r="B37" s="46"/>
      <c r="C37" s="46"/>
      <c r="D37" s="46"/>
      <c r="E37" s="4"/>
      <c r="F37" s="4" t="s">
        <v>68</v>
      </c>
      <c r="G37" s="9" t="s">
        <v>69</v>
      </c>
      <c r="H37" s="69"/>
      <c r="I37" s="46"/>
      <c r="J37" s="46"/>
      <c r="K37" s="12"/>
      <c r="L37" s="11" t="s">
        <v>38</v>
      </c>
      <c r="M37" s="4" t="s">
        <v>39</v>
      </c>
      <c r="N37" s="58"/>
      <c r="O37" s="58"/>
      <c r="P37" s="58"/>
      <c r="Q37" s="4"/>
      <c r="R37" s="11" t="s">
        <v>38</v>
      </c>
      <c r="S37" s="4" t="s">
        <v>40</v>
      </c>
      <c r="T37" s="12"/>
      <c r="U37" s="4"/>
      <c r="V37" s="4"/>
      <c r="W37" s="4"/>
      <c r="X37" s="4"/>
      <c r="Y37" s="4"/>
    </row>
    <row r="38" spans="2:25" ht="12.45">
      <c r="B38" s="46"/>
      <c r="C38" s="46"/>
      <c r="D38" s="46" t="s">
        <v>70</v>
      </c>
      <c r="E38" s="4"/>
      <c r="F38" s="15" t="s">
        <v>50</v>
      </c>
      <c r="G38" s="9"/>
      <c r="H38" s="67">
        <v>4</v>
      </c>
      <c r="I38" s="72">
        <v>45604</v>
      </c>
      <c r="J38" s="72">
        <v>45609</v>
      </c>
      <c r="K38" s="12"/>
      <c r="L38" s="11" t="s">
        <v>38</v>
      </c>
      <c r="M38" s="4" t="s">
        <v>39</v>
      </c>
      <c r="N38" s="71">
        <v>3</v>
      </c>
      <c r="O38" s="61">
        <v>45605</v>
      </c>
      <c r="P38" s="61">
        <v>45608</v>
      </c>
      <c r="Q38" s="4"/>
      <c r="R38" s="11" t="s">
        <v>38</v>
      </c>
      <c r="S38" s="4" t="s">
        <v>40</v>
      </c>
      <c r="T38" s="12"/>
      <c r="U38" s="4"/>
      <c r="V38" s="4"/>
      <c r="W38" s="4"/>
      <c r="X38" s="4"/>
      <c r="Y38" s="4"/>
    </row>
    <row r="39" spans="2:25" ht="12.45">
      <c r="B39" s="46"/>
      <c r="C39" s="46"/>
      <c r="D39" s="46"/>
      <c r="E39" s="4"/>
      <c r="F39" s="15" t="s">
        <v>51</v>
      </c>
      <c r="G39" s="9"/>
      <c r="H39" s="68"/>
      <c r="I39" s="57"/>
      <c r="J39" s="57"/>
      <c r="K39" s="12"/>
      <c r="L39" s="11" t="s">
        <v>38</v>
      </c>
      <c r="M39" s="4" t="s">
        <v>39</v>
      </c>
      <c r="N39" s="57"/>
      <c r="O39" s="57"/>
      <c r="P39" s="57"/>
      <c r="Q39" s="4"/>
      <c r="R39" s="11" t="s">
        <v>38</v>
      </c>
      <c r="S39" s="4" t="s">
        <v>40</v>
      </c>
      <c r="T39" s="12"/>
      <c r="U39" s="4"/>
      <c r="V39" s="4"/>
      <c r="W39" s="4"/>
      <c r="X39" s="4"/>
      <c r="Y39" s="4"/>
    </row>
    <row r="40" spans="2:25" ht="27.75" customHeight="1">
      <c r="B40" s="46"/>
      <c r="C40" s="46"/>
      <c r="D40" s="46"/>
      <c r="E40" s="4"/>
      <c r="F40" s="66" t="s">
        <v>70</v>
      </c>
      <c r="G40" s="17" t="s">
        <v>71</v>
      </c>
      <c r="H40" s="57"/>
      <c r="I40" s="57"/>
      <c r="J40" s="57"/>
      <c r="K40" s="16">
        <v>45615</v>
      </c>
      <c r="L40" s="11" t="s">
        <v>38</v>
      </c>
      <c r="M40" s="4" t="s">
        <v>39</v>
      </c>
      <c r="N40" s="57"/>
      <c r="O40" s="57"/>
      <c r="P40" s="57"/>
      <c r="Q40" s="16">
        <v>45615</v>
      </c>
      <c r="R40" s="11" t="s">
        <v>38</v>
      </c>
      <c r="S40" s="4" t="s">
        <v>40</v>
      </c>
      <c r="T40" s="12"/>
      <c r="U40" s="4"/>
      <c r="V40" s="4"/>
      <c r="W40" s="4"/>
      <c r="X40" s="4"/>
      <c r="Y40" s="4"/>
    </row>
    <row r="41" spans="2:25" ht="27.75" customHeight="1">
      <c r="B41" s="46"/>
      <c r="C41" s="55"/>
      <c r="D41" s="46"/>
      <c r="E41" s="4"/>
      <c r="F41" s="57"/>
      <c r="G41" s="18" t="s">
        <v>72</v>
      </c>
      <c r="H41" s="57"/>
      <c r="I41" s="57"/>
      <c r="J41" s="57"/>
      <c r="K41" s="16">
        <v>45615</v>
      </c>
      <c r="L41" s="11" t="s">
        <v>38</v>
      </c>
      <c r="M41" s="4" t="s">
        <v>39</v>
      </c>
      <c r="N41" s="57"/>
      <c r="O41" s="57"/>
      <c r="P41" s="57"/>
      <c r="Q41" s="16">
        <v>45615</v>
      </c>
      <c r="R41" s="11" t="s">
        <v>38</v>
      </c>
      <c r="S41" s="4" t="s">
        <v>40</v>
      </c>
      <c r="T41" s="19"/>
      <c r="U41" s="4"/>
      <c r="V41" s="4"/>
      <c r="W41" s="4"/>
      <c r="X41" s="4"/>
      <c r="Y41" s="4"/>
    </row>
    <row r="42" spans="2:25" ht="12.45">
      <c r="B42" s="46"/>
      <c r="C42" s="55"/>
      <c r="D42" s="46"/>
      <c r="E42" s="4"/>
      <c r="F42" s="57"/>
      <c r="G42" s="18" t="s">
        <v>61</v>
      </c>
      <c r="H42" s="57"/>
      <c r="I42" s="57"/>
      <c r="J42" s="57"/>
      <c r="K42" s="16">
        <v>45615</v>
      </c>
      <c r="L42" s="11" t="s">
        <v>38</v>
      </c>
      <c r="M42" s="4" t="s">
        <v>39</v>
      </c>
      <c r="N42" s="57"/>
      <c r="O42" s="57"/>
      <c r="P42" s="57"/>
      <c r="Q42" s="16">
        <v>45615</v>
      </c>
      <c r="R42" s="11" t="s">
        <v>38</v>
      </c>
      <c r="S42" s="4" t="s">
        <v>40</v>
      </c>
      <c r="T42" s="19"/>
      <c r="U42" s="4"/>
      <c r="V42" s="4"/>
      <c r="W42" s="4"/>
      <c r="X42" s="4"/>
      <c r="Y42" s="4"/>
    </row>
    <row r="43" spans="2:25" ht="12.45">
      <c r="B43" s="46"/>
      <c r="C43" s="55"/>
      <c r="D43" s="46"/>
      <c r="E43" s="4"/>
      <c r="F43" s="57"/>
      <c r="G43" s="18" t="s">
        <v>73</v>
      </c>
      <c r="H43" s="57"/>
      <c r="I43" s="57"/>
      <c r="J43" s="57"/>
      <c r="K43" s="4"/>
      <c r="L43" s="11" t="s">
        <v>38</v>
      </c>
      <c r="M43" s="4" t="s">
        <v>39</v>
      </c>
      <c r="N43" s="57"/>
      <c r="O43" s="57"/>
      <c r="P43" s="57"/>
      <c r="Q43" s="4"/>
      <c r="R43" s="11" t="s">
        <v>38</v>
      </c>
      <c r="S43" s="4" t="s">
        <v>40</v>
      </c>
      <c r="T43" s="19"/>
      <c r="U43" s="4"/>
      <c r="V43" s="4"/>
      <c r="W43" s="4"/>
      <c r="X43" s="4"/>
      <c r="Y43" s="4"/>
    </row>
    <row r="44" spans="2:25" ht="12.45">
      <c r="B44" s="46"/>
      <c r="C44" s="55"/>
      <c r="D44" s="46"/>
      <c r="E44" s="4"/>
      <c r="F44" s="57"/>
      <c r="G44" s="18" t="s">
        <v>74</v>
      </c>
      <c r="H44" s="57"/>
      <c r="I44" s="57"/>
      <c r="J44" s="57"/>
      <c r="K44" s="4"/>
      <c r="L44" s="11" t="s">
        <v>38</v>
      </c>
      <c r="M44" s="4" t="s">
        <v>39</v>
      </c>
      <c r="N44" s="57"/>
      <c r="O44" s="57"/>
      <c r="P44" s="57"/>
      <c r="Q44" s="4"/>
      <c r="R44" s="11" t="s">
        <v>38</v>
      </c>
      <c r="S44" s="4" t="s">
        <v>40</v>
      </c>
      <c r="T44" s="19"/>
      <c r="U44" s="4"/>
      <c r="V44" s="4"/>
      <c r="W44" s="4"/>
      <c r="X44" s="4"/>
      <c r="Y44" s="4"/>
    </row>
    <row r="45" spans="2:25" ht="12.45">
      <c r="B45" s="46"/>
      <c r="C45" s="55"/>
      <c r="D45" s="46"/>
      <c r="E45" s="4"/>
      <c r="F45" s="57"/>
      <c r="G45" s="18" t="s">
        <v>75</v>
      </c>
      <c r="H45" s="57"/>
      <c r="I45" s="57"/>
      <c r="J45" s="57"/>
      <c r="K45" s="4"/>
      <c r="L45" s="11" t="s">
        <v>38</v>
      </c>
      <c r="M45" s="4" t="s">
        <v>39</v>
      </c>
      <c r="N45" s="57"/>
      <c r="O45" s="57"/>
      <c r="P45" s="57"/>
      <c r="Q45" s="4"/>
      <c r="R45" s="11" t="s">
        <v>38</v>
      </c>
      <c r="S45" s="4" t="s">
        <v>40</v>
      </c>
      <c r="T45" s="19"/>
      <c r="U45" s="4"/>
      <c r="V45" s="4"/>
      <c r="W45" s="4"/>
      <c r="X45" s="4"/>
      <c r="Y45" s="4"/>
    </row>
    <row r="46" spans="2:25" ht="24.9">
      <c r="B46" s="46"/>
      <c r="C46" s="55"/>
      <c r="D46" s="46"/>
      <c r="E46" s="4"/>
      <c r="F46" s="57"/>
      <c r="G46" s="18" t="s">
        <v>76</v>
      </c>
      <c r="H46" s="57"/>
      <c r="I46" s="57"/>
      <c r="J46" s="57"/>
      <c r="K46" s="4"/>
      <c r="L46" s="11" t="s">
        <v>38</v>
      </c>
      <c r="M46" s="4" t="s">
        <v>39</v>
      </c>
      <c r="N46" s="57"/>
      <c r="O46" s="57"/>
      <c r="P46" s="57"/>
      <c r="Q46" s="4"/>
      <c r="R46" s="11" t="s">
        <v>38</v>
      </c>
      <c r="S46" s="4" t="s">
        <v>40</v>
      </c>
      <c r="T46" s="19"/>
      <c r="U46" s="4"/>
      <c r="V46" s="4"/>
      <c r="W46" s="4"/>
      <c r="X46" s="4"/>
      <c r="Y46" s="4"/>
    </row>
    <row r="47" spans="2:25" ht="27.75" customHeight="1">
      <c r="B47" s="46"/>
      <c r="C47" s="55"/>
      <c r="D47" s="46"/>
      <c r="E47" s="4"/>
      <c r="F47" s="57"/>
      <c r="G47" s="18" t="s">
        <v>77</v>
      </c>
      <c r="H47" s="57"/>
      <c r="I47" s="57"/>
      <c r="J47" s="57"/>
      <c r="K47" s="4"/>
      <c r="L47" s="11" t="s">
        <v>38</v>
      </c>
      <c r="M47" s="4" t="s">
        <v>39</v>
      </c>
      <c r="N47" s="57"/>
      <c r="O47" s="57"/>
      <c r="P47" s="57"/>
      <c r="Q47" s="4"/>
      <c r="R47" s="11" t="s">
        <v>38</v>
      </c>
      <c r="S47" s="4" t="s">
        <v>40</v>
      </c>
      <c r="T47" s="19"/>
      <c r="U47" s="4"/>
      <c r="V47" s="4"/>
      <c r="W47" s="4"/>
      <c r="X47" s="4"/>
      <c r="Y47" s="4"/>
    </row>
    <row r="48" spans="2:25" ht="12.45">
      <c r="B48" s="46"/>
      <c r="C48" s="55"/>
      <c r="D48" s="46"/>
      <c r="E48" s="4"/>
      <c r="F48" s="58"/>
      <c r="G48" s="18" t="s">
        <v>78</v>
      </c>
      <c r="H48" s="57"/>
      <c r="I48" s="57"/>
      <c r="J48" s="57"/>
      <c r="K48" s="4"/>
      <c r="L48" s="11" t="s">
        <v>38</v>
      </c>
      <c r="M48" s="4" t="s">
        <v>39</v>
      </c>
      <c r="N48" s="57"/>
      <c r="O48" s="57"/>
      <c r="P48" s="57"/>
      <c r="Q48" s="4"/>
      <c r="R48" s="11" t="s">
        <v>38</v>
      </c>
      <c r="S48" s="4" t="s">
        <v>40</v>
      </c>
      <c r="T48" s="19"/>
      <c r="U48" s="4"/>
      <c r="V48" s="4"/>
      <c r="W48" s="4"/>
      <c r="X48" s="4"/>
      <c r="Y48" s="4"/>
    </row>
    <row r="49" spans="2:25" ht="27.75" customHeight="1">
      <c r="B49" s="46"/>
      <c r="C49" s="46"/>
      <c r="D49" s="46"/>
      <c r="E49" s="4"/>
      <c r="F49" s="20" t="s">
        <v>79</v>
      </c>
      <c r="G49" s="17" t="s">
        <v>80</v>
      </c>
      <c r="H49" s="57"/>
      <c r="I49" s="57"/>
      <c r="J49" s="57"/>
      <c r="K49" s="4"/>
      <c r="L49" s="11" t="s">
        <v>38</v>
      </c>
      <c r="M49" s="4" t="s">
        <v>39</v>
      </c>
      <c r="N49" s="57"/>
      <c r="O49" s="57"/>
      <c r="P49" s="57"/>
      <c r="Q49" s="4"/>
      <c r="R49" s="11" t="s">
        <v>38</v>
      </c>
      <c r="S49" s="4" t="s">
        <v>40</v>
      </c>
      <c r="T49" s="12"/>
      <c r="U49" s="4"/>
      <c r="V49" s="4"/>
      <c r="W49" s="4"/>
      <c r="X49" s="4"/>
      <c r="Y49" s="4"/>
    </row>
    <row r="50" spans="2:25" ht="12.45">
      <c r="B50" s="46"/>
      <c r="C50" s="46"/>
      <c r="D50" s="46"/>
      <c r="E50" s="4"/>
      <c r="F50" s="15" t="s">
        <v>81</v>
      </c>
      <c r="G50" s="9"/>
      <c r="H50" s="57"/>
      <c r="I50" s="57"/>
      <c r="J50" s="57"/>
      <c r="K50" s="4"/>
      <c r="L50" s="11" t="s">
        <v>38</v>
      </c>
      <c r="M50" s="4" t="s">
        <v>39</v>
      </c>
      <c r="N50" s="57"/>
      <c r="O50" s="57"/>
      <c r="P50" s="57"/>
      <c r="Q50" s="4"/>
      <c r="R50" s="11" t="s">
        <v>38</v>
      </c>
      <c r="S50" s="4" t="s">
        <v>40</v>
      </c>
      <c r="T50" s="12"/>
      <c r="U50" s="4"/>
      <c r="V50" s="4"/>
      <c r="W50" s="4"/>
      <c r="X50" s="4"/>
      <c r="Y50" s="4"/>
    </row>
    <row r="51" spans="2:25" ht="12.45">
      <c r="B51" s="46"/>
      <c r="C51" s="46"/>
      <c r="D51" s="46"/>
      <c r="E51" s="4"/>
      <c r="F51" s="15" t="s">
        <v>82</v>
      </c>
      <c r="G51" s="9"/>
      <c r="H51" s="57"/>
      <c r="I51" s="57"/>
      <c r="J51" s="57"/>
      <c r="K51" s="4"/>
      <c r="L51" s="11" t="s">
        <v>38</v>
      </c>
      <c r="M51" s="4" t="s">
        <v>39</v>
      </c>
      <c r="N51" s="57"/>
      <c r="O51" s="57"/>
      <c r="P51" s="57"/>
      <c r="Q51" s="4"/>
      <c r="R51" s="11" t="s">
        <v>38</v>
      </c>
      <c r="S51" s="4" t="s">
        <v>40</v>
      </c>
      <c r="T51" s="12"/>
      <c r="U51" s="4"/>
      <c r="V51" s="4"/>
      <c r="W51" s="4"/>
      <c r="X51" s="4"/>
      <c r="Y51" s="4"/>
    </row>
    <row r="52" spans="2:25" ht="12.45">
      <c r="B52" s="46"/>
      <c r="C52" s="46"/>
      <c r="D52" s="46"/>
      <c r="E52" s="4"/>
      <c r="F52" s="4" t="s">
        <v>83</v>
      </c>
      <c r="G52" s="9" t="s">
        <v>84</v>
      </c>
      <c r="H52" s="57"/>
      <c r="I52" s="57"/>
      <c r="J52" s="57"/>
      <c r="K52" s="4"/>
      <c r="L52" s="11" t="s">
        <v>38</v>
      </c>
      <c r="M52" s="4" t="s">
        <v>39</v>
      </c>
      <c r="N52" s="57"/>
      <c r="O52" s="57"/>
      <c r="P52" s="57"/>
      <c r="Q52" s="4"/>
      <c r="R52" s="11" t="s">
        <v>38</v>
      </c>
      <c r="S52" s="4" t="s">
        <v>40</v>
      </c>
      <c r="T52" s="12"/>
      <c r="U52" s="4"/>
      <c r="V52" s="4"/>
      <c r="W52" s="4"/>
      <c r="X52" s="4"/>
      <c r="Y52" s="4"/>
    </row>
    <row r="53" spans="2:25" ht="12.45">
      <c r="B53" s="46"/>
      <c r="C53" s="46"/>
      <c r="D53" s="46"/>
      <c r="E53" s="4"/>
      <c r="F53" s="4" t="s">
        <v>85</v>
      </c>
      <c r="G53" s="9" t="s">
        <v>84</v>
      </c>
      <c r="H53" s="57"/>
      <c r="I53" s="57"/>
      <c r="J53" s="57"/>
      <c r="K53" s="4"/>
      <c r="L53" s="11" t="s">
        <v>38</v>
      </c>
      <c r="M53" s="4" t="s">
        <v>39</v>
      </c>
      <c r="N53" s="57"/>
      <c r="O53" s="57"/>
      <c r="P53" s="57"/>
      <c r="Q53" s="4"/>
      <c r="R53" s="11" t="s">
        <v>38</v>
      </c>
      <c r="S53" s="4" t="s">
        <v>40</v>
      </c>
      <c r="T53" s="12"/>
      <c r="U53" s="4"/>
      <c r="V53" s="4"/>
      <c r="W53" s="4"/>
      <c r="X53" s="4"/>
      <c r="Y53" s="4"/>
    </row>
    <row r="54" spans="2:25" ht="12.45">
      <c r="B54" s="46"/>
      <c r="C54" s="46"/>
      <c r="D54" s="46"/>
      <c r="E54" s="4"/>
      <c r="F54" s="4" t="s">
        <v>86</v>
      </c>
      <c r="G54" s="9" t="s">
        <v>87</v>
      </c>
      <c r="H54" s="57"/>
      <c r="I54" s="57"/>
      <c r="J54" s="57"/>
      <c r="K54" s="4"/>
      <c r="L54" s="11" t="s">
        <v>38</v>
      </c>
      <c r="M54" s="4" t="s">
        <v>39</v>
      </c>
      <c r="N54" s="57"/>
      <c r="O54" s="57"/>
      <c r="P54" s="57"/>
      <c r="Q54" s="4"/>
      <c r="R54" s="11" t="s">
        <v>38</v>
      </c>
      <c r="S54" s="4" t="s">
        <v>40</v>
      </c>
      <c r="T54" s="12"/>
      <c r="U54" s="4"/>
      <c r="V54" s="4"/>
      <c r="W54" s="4"/>
      <c r="X54" s="4"/>
      <c r="Y54" s="4"/>
    </row>
    <row r="55" spans="2:25" ht="12.45">
      <c r="B55" s="46"/>
      <c r="C55" s="46"/>
      <c r="D55" s="46"/>
      <c r="E55" s="4"/>
      <c r="F55" s="4" t="s">
        <v>88</v>
      </c>
      <c r="G55" s="9"/>
      <c r="H55" s="58"/>
      <c r="I55" s="58"/>
      <c r="J55" s="58"/>
      <c r="K55" s="4"/>
      <c r="L55" s="11" t="s">
        <v>38</v>
      </c>
      <c r="M55" s="4" t="s">
        <v>39</v>
      </c>
      <c r="N55" s="58"/>
      <c r="O55" s="58"/>
      <c r="P55" s="58"/>
      <c r="Q55" s="4"/>
      <c r="R55" s="11" t="s">
        <v>38</v>
      </c>
      <c r="S55" s="4" t="s">
        <v>40</v>
      </c>
      <c r="T55" s="12"/>
      <c r="U55" s="4"/>
      <c r="V55" s="4"/>
      <c r="W55" s="4"/>
      <c r="X55" s="4"/>
      <c r="Y55" s="4"/>
    </row>
    <row r="56" spans="2:25" ht="12.45">
      <c r="H56">
        <f>SUM(H3:H55)</f>
        <v>8.5</v>
      </c>
      <c r="I56" s="21"/>
      <c r="J56" s="21"/>
      <c r="L56" s="22"/>
      <c r="M56" s="4" t="s">
        <v>39</v>
      </c>
      <c r="N56">
        <f>SUM(N3:N55)</f>
        <v>8</v>
      </c>
      <c r="O56" s="21"/>
      <c r="P56" s="21"/>
      <c r="Q56" s="21"/>
      <c r="R56" s="22"/>
      <c r="S56" s="4" t="s">
        <v>40</v>
      </c>
    </row>
    <row r="57" spans="2:25" ht="12.45">
      <c r="I57" s="21"/>
      <c r="J57" s="21"/>
      <c r="L57" s="22"/>
      <c r="O57" s="21"/>
      <c r="P57" s="21"/>
      <c r="Q57" s="21"/>
      <c r="R57" s="22"/>
    </row>
    <row r="58" spans="2:25" ht="12.45">
      <c r="I58" s="21"/>
      <c r="J58" s="21"/>
      <c r="L58" s="22"/>
      <c r="O58" s="21"/>
      <c r="P58" s="21"/>
      <c r="Q58" s="21"/>
      <c r="R58" s="22"/>
    </row>
    <row r="59" spans="2:25" ht="12.45">
      <c r="I59" s="21"/>
      <c r="J59" s="21"/>
      <c r="L59" s="22"/>
      <c r="O59" s="21"/>
      <c r="P59" s="21"/>
      <c r="Q59" s="21"/>
      <c r="R59" s="22"/>
    </row>
    <row r="60" spans="2:25" ht="12.45">
      <c r="I60" s="21"/>
      <c r="J60" s="21"/>
      <c r="L60" s="22"/>
      <c r="O60" s="21"/>
      <c r="P60" s="21"/>
      <c r="Q60" s="21"/>
      <c r="R60" s="22"/>
    </row>
    <row r="61" spans="2:25" ht="12.45">
      <c r="I61" s="21"/>
      <c r="J61" s="21"/>
      <c r="L61" s="22"/>
      <c r="O61" s="21"/>
      <c r="P61" s="21"/>
      <c r="Q61" s="21"/>
      <c r="R61" s="22"/>
    </row>
    <row r="62" spans="2:25" ht="12.45">
      <c r="I62" s="21"/>
      <c r="J62" s="21"/>
      <c r="L62" s="22"/>
      <c r="O62" s="21"/>
      <c r="P62" s="21"/>
      <c r="Q62" s="21"/>
      <c r="R62" s="22"/>
    </row>
    <row r="63" spans="2:25" ht="12.45">
      <c r="I63" s="21"/>
      <c r="J63" s="21"/>
      <c r="L63" s="22"/>
      <c r="O63" s="21"/>
      <c r="P63" s="21"/>
      <c r="Q63" s="21"/>
      <c r="R63" s="22"/>
    </row>
    <row r="64" spans="2:25" ht="12.45">
      <c r="I64" s="21"/>
      <c r="J64" s="21"/>
      <c r="L64" s="22"/>
      <c r="O64" s="21"/>
      <c r="P64" s="21"/>
      <c r="Q64" s="21"/>
      <c r="R64" s="22"/>
    </row>
    <row r="65" spans="9:18" ht="12.45">
      <c r="I65" s="21"/>
      <c r="J65" s="21"/>
      <c r="L65" s="22"/>
      <c r="O65" s="21"/>
      <c r="P65" s="21"/>
      <c r="Q65" s="21"/>
      <c r="R65" s="22"/>
    </row>
    <row r="66" spans="9:18" ht="12.45">
      <c r="I66" s="21"/>
      <c r="J66" s="21"/>
      <c r="L66" s="22"/>
      <c r="O66" s="21"/>
      <c r="P66" s="21"/>
      <c r="Q66" s="21"/>
      <c r="R66" s="22"/>
    </row>
    <row r="67" spans="9:18" ht="12.45">
      <c r="I67" s="21"/>
      <c r="J67" s="21"/>
      <c r="L67" s="22"/>
      <c r="O67" s="21"/>
      <c r="P67" s="21"/>
      <c r="Q67" s="21"/>
      <c r="R67" s="22"/>
    </row>
    <row r="68" spans="9:18" ht="12.45">
      <c r="I68" s="21"/>
      <c r="J68" s="21"/>
      <c r="L68" s="22"/>
      <c r="O68" s="21"/>
      <c r="P68" s="21"/>
      <c r="Q68" s="21"/>
      <c r="R68" s="22"/>
    </row>
    <row r="69" spans="9:18" ht="12.45">
      <c r="I69" s="21"/>
      <c r="J69" s="21"/>
      <c r="L69" s="22"/>
      <c r="O69" s="21"/>
      <c r="P69" s="21"/>
      <c r="Q69" s="21"/>
      <c r="R69" s="22"/>
    </row>
    <row r="70" spans="9:18" ht="12.45">
      <c r="I70" s="21"/>
      <c r="J70" s="21"/>
      <c r="L70" s="22"/>
      <c r="O70" s="21"/>
      <c r="P70" s="21"/>
      <c r="Q70" s="21"/>
      <c r="R70" s="22"/>
    </row>
    <row r="71" spans="9:18" ht="12.45">
      <c r="I71" s="21"/>
      <c r="J71" s="21"/>
      <c r="L71" s="22"/>
      <c r="O71" s="21"/>
      <c r="P71" s="21"/>
      <c r="Q71" s="21"/>
      <c r="R71" s="22"/>
    </row>
    <row r="72" spans="9:18" ht="12.45">
      <c r="I72" s="21"/>
      <c r="J72" s="21"/>
      <c r="L72" s="22"/>
      <c r="O72" s="21"/>
      <c r="P72" s="21"/>
      <c r="Q72" s="21"/>
      <c r="R72" s="22"/>
    </row>
    <row r="73" spans="9:18" ht="12.45">
      <c r="I73" s="21"/>
      <c r="J73" s="21"/>
      <c r="L73" s="22"/>
      <c r="O73" s="21"/>
      <c r="P73" s="21"/>
      <c r="Q73" s="21"/>
      <c r="R73" s="22"/>
    </row>
    <row r="74" spans="9:18" ht="12.45">
      <c r="I74" s="21"/>
      <c r="J74" s="21"/>
      <c r="L74" s="22"/>
      <c r="O74" s="21"/>
      <c r="P74" s="21"/>
      <c r="Q74" s="21"/>
      <c r="R74" s="22"/>
    </row>
    <row r="75" spans="9:18" ht="12.45">
      <c r="I75" s="21"/>
      <c r="J75" s="21"/>
      <c r="L75" s="22"/>
      <c r="O75" s="21"/>
      <c r="P75" s="21"/>
      <c r="Q75" s="21"/>
      <c r="R75" s="22"/>
    </row>
    <row r="76" spans="9:18" ht="12.45">
      <c r="I76" s="21"/>
      <c r="J76" s="21"/>
      <c r="L76" s="22"/>
      <c r="O76" s="21"/>
      <c r="P76" s="21"/>
      <c r="Q76" s="21"/>
      <c r="R76" s="22"/>
    </row>
    <row r="77" spans="9:18" ht="12.45">
      <c r="I77" s="21"/>
      <c r="J77" s="21"/>
      <c r="L77" s="22"/>
      <c r="O77" s="21"/>
      <c r="P77" s="21"/>
      <c r="Q77" s="21"/>
      <c r="R77" s="22"/>
    </row>
    <row r="78" spans="9:18" ht="12.45">
      <c r="I78" s="21"/>
      <c r="J78" s="21"/>
      <c r="L78" s="22"/>
      <c r="O78" s="21"/>
      <c r="P78" s="21"/>
      <c r="Q78" s="21"/>
      <c r="R78" s="22"/>
    </row>
    <row r="79" spans="9:18" ht="12.45">
      <c r="I79" s="21"/>
      <c r="J79" s="21"/>
      <c r="L79" s="22"/>
      <c r="O79" s="21"/>
      <c r="P79" s="21"/>
      <c r="Q79" s="21"/>
      <c r="R79" s="22"/>
    </row>
    <row r="80" spans="9:18" ht="12.45">
      <c r="I80" s="21"/>
      <c r="J80" s="21"/>
      <c r="L80" s="22"/>
      <c r="O80" s="21"/>
      <c r="P80" s="21"/>
      <c r="Q80" s="21"/>
      <c r="R80" s="22"/>
    </row>
    <row r="81" spans="9:18" ht="12.45">
      <c r="I81" s="21"/>
      <c r="J81" s="21"/>
      <c r="L81" s="22"/>
      <c r="O81" s="21"/>
      <c r="P81" s="21"/>
      <c r="Q81" s="21"/>
      <c r="R81" s="22"/>
    </row>
    <row r="82" spans="9:18" ht="12.45">
      <c r="I82" s="21"/>
      <c r="J82" s="21"/>
      <c r="L82" s="22"/>
      <c r="O82" s="21"/>
      <c r="P82" s="21"/>
      <c r="Q82" s="21"/>
      <c r="R82" s="22"/>
    </row>
    <row r="83" spans="9:18" ht="12.45">
      <c r="I83" s="21"/>
      <c r="J83" s="21"/>
      <c r="L83" s="22"/>
      <c r="O83" s="21"/>
      <c r="P83" s="21"/>
      <c r="Q83" s="21"/>
      <c r="R83" s="22"/>
    </row>
    <row r="84" spans="9:18" ht="12.45">
      <c r="I84" s="21"/>
      <c r="J84" s="21"/>
      <c r="L84" s="22"/>
      <c r="O84" s="21"/>
      <c r="P84" s="21"/>
      <c r="Q84" s="21"/>
      <c r="R84" s="22"/>
    </row>
    <row r="85" spans="9:18" ht="12.45">
      <c r="I85" s="21"/>
      <c r="J85" s="21"/>
      <c r="L85" s="22"/>
      <c r="O85" s="21"/>
      <c r="P85" s="21"/>
      <c r="Q85" s="21"/>
      <c r="R85" s="22"/>
    </row>
    <row r="86" spans="9:18" ht="12.45">
      <c r="I86" s="21"/>
      <c r="J86" s="21"/>
      <c r="L86" s="22"/>
      <c r="O86" s="21"/>
      <c r="P86" s="21"/>
      <c r="Q86" s="21"/>
      <c r="R86" s="22"/>
    </row>
    <row r="87" spans="9:18" ht="12.45">
      <c r="I87" s="21"/>
      <c r="J87" s="21"/>
      <c r="L87" s="22"/>
      <c r="O87" s="21"/>
      <c r="P87" s="21"/>
      <c r="Q87" s="21"/>
      <c r="R87" s="22"/>
    </row>
    <row r="88" spans="9:18" ht="12.45">
      <c r="I88" s="21"/>
      <c r="J88" s="21"/>
      <c r="L88" s="22"/>
      <c r="O88" s="21"/>
      <c r="P88" s="21"/>
      <c r="Q88" s="21"/>
      <c r="R88" s="22"/>
    </row>
    <row r="89" spans="9:18" ht="12.45">
      <c r="I89" s="21"/>
      <c r="J89" s="21"/>
      <c r="L89" s="22"/>
      <c r="O89" s="21"/>
      <c r="P89" s="21"/>
      <c r="Q89" s="21"/>
      <c r="R89" s="22"/>
    </row>
    <row r="90" spans="9:18" ht="12.45">
      <c r="I90" s="21"/>
      <c r="J90" s="21"/>
      <c r="L90" s="22"/>
      <c r="O90" s="21"/>
      <c r="P90" s="21"/>
      <c r="Q90" s="21"/>
      <c r="R90" s="22"/>
    </row>
    <row r="91" spans="9:18" ht="12.45">
      <c r="I91" s="21"/>
      <c r="J91" s="21"/>
      <c r="L91" s="22"/>
      <c r="O91" s="21"/>
      <c r="P91" s="21"/>
      <c r="Q91" s="21"/>
      <c r="R91" s="22"/>
    </row>
    <row r="92" spans="9:18" ht="12.45">
      <c r="I92" s="21"/>
      <c r="J92" s="21"/>
      <c r="L92" s="22"/>
      <c r="O92" s="21"/>
      <c r="P92" s="21"/>
      <c r="Q92" s="21"/>
      <c r="R92" s="22"/>
    </row>
    <row r="93" spans="9:18" ht="12.45">
      <c r="I93" s="21"/>
      <c r="J93" s="21"/>
      <c r="L93" s="22"/>
      <c r="O93" s="21"/>
      <c r="P93" s="21"/>
      <c r="Q93" s="21"/>
      <c r="R93" s="22"/>
    </row>
    <row r="94" spans="9:18" ht="12.45">
      <c r="I94" s="21"/>
      <c r="J94" s="21"/>
      <c r="L94" s="22"/>
      <c r="O94" s="21"/>
      <c r="P94" s="21"/>
      <c r="Q94" s="21"/>
      <c r="R94" s="22"/>
    </row>
    <row r="95" spans="9:18" ht="12.45">
      <c r="I95" s="21"/>
      <c r="J95" s="21"/>
      <c r="L95" s="22"/>
      <c r="O95" s="21"/>
      <c r="P95" s="21"/>
      <c r="Q95" s="21"/>
      <c r="R95" s="22"/>
    </row>
    <row r="96" spans="9:18" ht="12.45">
      <c r="I96" s="21"/>
      <c r="J96" s="21"/>
      <c r="L96" s="22"/>
      <c r="O96" s="21"/>
      <c r="P96" s="21"/>
      <c r="Q96" s="21"/>
      <c r="R96" s="22"/>
    </row>
    <row r="97" spans="9:18" ht="12.45">
      <c r="I97" s="21"/>
      <c r="J97" s="21"/>
      <c r="L97" s="22"/>
      <c r="O97" s="21"/>
      <c r="P97" s="21"/>
      <c r="Q97" s="21"/>
      <c r="R97" s="22"/>
    </row>
    <row r="98" spans="9:18" ht="12.45">
      <c r="I98" s="21"/>
      <c r="J98" s="21"/>
      <c r="L98" s="22"/>
      <c r="O98" s="21"/>
      <c r="P98" s="21"/>
      <c r="Q98" s="21"/>
      <c r="R98" s="22"/>
    </row>
    <row r="99" spans="9:18" ht="12.45">
      <c r="I99" s="21"/>
      <c r="J99" s="21"/>
      <c r="L99" s="22"/>
      <c r="O99" s="21"/>
      <c r="P99" s="21"/>
      <c r="Q99" s="21"/>
      <c r="R99" s="22"/>
    </row>
    <row r="100" spans="9:18" ht="12.45">
      <c r="I100" s="21"/>
      <c r="J100" s="21"/>
      <c r="L100" s="22"/>
      <c r="O100" s="21"/>
      <c r="P100" s="21"/>
      <c r="Q100" s="21"/>
      <c r="R100" s="22"/>
    </row>
    <row r="101" spans="9:18" ht="12.45">
      <c r="I101" s="21"/>
      <c r="J101" s="21"/>
      <c r="L101" s="22"/>
      <c r="O101" s="21"/>
      <c r="P101" s="21"/>
      <c r="Q101" s="21"/>
      <c r="R101" s="22"/>
    </row>
    <row r="102" spans="9:18" ht="12.45">
      <c r="I102" s="21"/>
      <c r="J102" s="21"/>
      <c r="L102" s="22"/>
      <c r="O102" s="21"/>
      <c r="P102" s="21"/>
      <c r="Q102" s="21"/>
      <c r="R102" s="22"/>
    </row>
    <row r="103" spans="9:18" ht="12.45">
      <c r="I103" s="21"/>
      <c r="J103" s="21"/>
      <c r="L103" s="22"/>
      <c r="O103" s="21"/>
      <c r="P103" s="21"/>
      <c r="Q103" s="21"/>
      <c r="R103" s="22"/>
    </row>
    <row r="104" spans="9:18" ht="12.45">
      <c r="I104" s="21"/>
      <c r="J104" s="21"/>
      <c r="L104" s="22"/>
      <c r="O104" s="21"/>
      <c r="P104" s="21"/>
      <c r="Q104" s="21"/>
      <c r="R104" s="22"/>
    </row>
    <row r="105" spans="9:18" ht="12.45">
      <c r="I105" s="21"/>
      <c r="J105" s="21"/>
      <c r="L105" s="22"/>
      <c r="O105" s="21"/>
      <c r="P105" s="21"/>
      <c r="Q105" s="21"/>
      <c r="R105" s="22"/>
    </row>
    <row r="106" spans="9:18" ht="12.45">
      <c r="I106" s="21"/>
      <c r="J106" s="21"/>
      <c r="L106" s="22"/>
      <c r="O106" s="21"/>
      <c r="P106" s="21"/>
      <c r="Q106" s="21"/>
      <c r="R106" s="22"/>
    </row>
    <row r="107" spans="9:18" ht="12.45">
      <c r="I107" s="21"/>
      <c r="J107" s="21"/>
      <c r="L107" s="22"/>
      <c r="O107" s="21"/>
      <c r="P107" s="21"/>
      <c r="Q107" s="21"/>
      <c r="R107" s="22"/>
    </row>
    <row r="108" spans="9:18" ht="12.45">
      <c r="I108" s="21"/>
      <c r="J108" s="21"/>
      <c r="L108" s="22"/>
      <c r="O108" s="21"/>
      <c r="P108" s="21"/>
      <c r="Q108" s="21"/>
      <c r="R108" s="22"/>
    </row>
    <row r="109" spans="9:18" ht="12.45">
      <c r="I109" s="21"/>
      <c r="J109" s="21"/>
      <c r="L109" s="22"/>
      <c r="O109" s="21"/>
      <c r="P109" s="21"/>
      <c r="Q109" s="21"/>
      <c r="R109" s="22"/>
    </row>
    <row r="110" spans="9:18" ht="12.45">
      <c r="I110" s="21"/>
      <c r="J110" s="21"/>
      <c r="L110" s="22"/>
      <c r="O110" s="21"/>
      <c r="P110" s="21"/>
      <c r="Q110" s="21"/>
      <c r="R110" s="22"/>
    </row>
    <row r="111" spans="9:18" ht="12.45">
      <c r="I111" s="21"/>
      <c r="J111" s="21"/>
      <c r="L111" s="22"/>
      <c r="O111" s="21"/>
      <c r="P111" s="21"/>
      <c r="Q111" s="21"/>
      <c r="R111" s="22"/>
    </row>
    <row r="112" spans="9:18" ht="12.45">
      <c r="I112" s="21"/>
      <c r="J112" s="21"/>
      <c r="L112" s="22"/>
      <c r="O112" s="21"/>
      <c r="P112" s="21"/>
      <c r="Q112" s="21"/>
      <c r="R112" s="22"/>
    </row>
    <row r="113" spans="9:18" ht="12.45">
      <c r="I113" s="21"/>
      <c r="J113" s="21"/>
      <c r="L113" s="22"/>
      <c r="O113" s="21"/>
      <c r="P113" s="21"/>
      <c r="Q113" s="21"/>
      <c r="R113" s="22"/>
    </row>
    <row r="114" spans="9:18" ht="12.45">
      <c r="I114" s="21"/>
      <c r="J114" s="21"/>
      <c r="L114" s="22"/>
      <c r="O114" s="21"/>
      <c r="P114" s="21"/>
      <c r="Q114" s="21"/>
      <c r="R114" s="22"/>
    </row>
    <row r="115" spans="9:18" ht="12.45">
      <c r="I115" s="21"/>
      <c r="J115" s="21"/>
      <c r="L115" s="22"/>
      <c r="O115" s="21"/>
      <c r="P115" s="21"/>
      <c r="Q115" s="21"/>
      <c r="R115" s="22"/>
    </row>
    <row r="116" spans="9:18" ht="12.45">
      <c r="I116" s="21"/>
      <c r="J116" s="21"/>
      <c r="L116" s="22"/>
      <c r="O116" s="21"/>
      <c r="P116" s="21"/>
      <c r="Q116" s="21"/>
      <c r="R116" s="22"/>
    </row>
    <row r="117" spans="9:18" ht="12.45">
      <c r="I117" s="21"/>
      <c r="J117" s="21"/>
      <c r="L117" s="22"/>
      <c r="O117" s="21"/>
      <c r="P117" s="21"/>
      <c r="Q117" s="21"/>
      <c r="R117" s="22"/>
    </row>
    <row r="118" spans="9:18" ht="12.45">
      <c r="I118" s="21"/>
      <c r="J118" s="21"/>
      <c r="L118" s="22"/>
      <c r="O118" s="21"/>
      <c r="P118" s="21"/>
      <c r="Q118" s="21"/>
      <c r="R118" s="22"/>
    </row>
    <row r="119" spans="9:18" ht="12.45">
      <c r="I119" s="21"/>
      <c r="J119" s="21"/>
      <c r="L119" s="22"/>
      <c r="O119" s="21"/>
      <c r="P119" s="21"/>
      <c r="Q119" s="21"/>
      <c r="R119" s="22"/>
    </row>
    <row r="120" spans="9:18" ht="12.45">
      <c r="I120" s="21"/>
      <c r="J120" s="21"/>
      <c r="L120" s="22"/>
      <c r="O120" s="21"/>
      <c r="P120" s="21"/>
      <c r="Q120" s="21"/>
      <c r="R120" s="22"/>
    </row>
    <row r="121" spans="9:18" ht="12.45">
      <c r="I121" s="21"/>
      <c r="J121" s="21"/>
      <c r="L121" s="22"/>
      <c r="O121" s="21"/>
      <c r="P121" s="21"/>
      <c r="Q121" s="21"/>
      <c r="R121" s="22"/>
    </row>
    <row r="122" spans="9:18" ht="12.45">
      <c r="I122" s="21"/>
      <c r="J122" s="21"/>
      <c r="L122" s="22"/>
      <c r="O122" s="21"/>
      <c r="P122" s="21"/>
      <c r="Q122" s="21"/>
      <c r="R122" s="22"/>
    </row>
    <row r="123" spans="9:18" ht="12.45">
      <c r="I123" s="21"/>
      <c r="J123" s="21"/>
      <c r="L123" s="22"/>
      <c r="O123" s="21"/>
      <c r="P123" s="21"/>
      <c r="Q123" s="21"/>
      <c r="R123" s="22"/>
    </row>
    <row r="124" spans="9:18" ht="12.45">
      <c r="I124" s="21"/>
      <c r="J124" s="21"/>
      <c r="L124" s="22"/>
      <c r="O124" s="21"/>
      <c r="P124" s="21"/>
      <c r="Q124" s="21"/>
      <c r="R124" s="22"/>
    </row>
    <row r="125" spans="9:18" ht="12.45">
      <c r="I125" s="21"/>
      <c r="J125" s="21"/>
      <c r="L125" s="22"/>
      <c r="O125" s="21"/>
      <c r="P125" s="21"/>
      <c r="Q125" s="21"/>
      <c r="R125" s="22"/>
    </row>
    <row r="126" spans="9:18" ht="12.45">
      <c r="I126" s="21"/>
      <c r="J126" s="21"/>
      <c r="L126" s="22"/>
      <c r="O126" s="21"/>
      <c r="P126" s="21"/>
      <c r="Q126" s="21"/>
      <c r="R126" s="22"/>
    </row>
    <row r="127" spans="9:18" ht="12.45">
      <c r="I127" s="21"/>
      <c r="J127" s="21"/>
      <c r="L127" s="22"/>
      <c r="O127" s="21"/>
      <c r="P127" s="21"/>
      <c r="Q127" s="21"/>
      <c r="R127" s="22"/>
    </row>
    <row r="128" spans="9:18" ht="12.45">
      <c r="I128" s="21"/>
      <c r="J128" s="21"/>
      <c r="L128" s="22"/>
      <c r="O128" s="21"/>
      <c r="P128" s="21"/>
      <c r="Q128" s="21"/>
      <c r="R128" s="22"/>
    </row>
    <row r="129" spans="9:18" ht="12.45">
      <c r="I129" s="21"/>
      <c r="J129" s="21"/>
      <c r="L129" s="22"/>
      <c r="O129" s="21"/>
      <c r="P129" s="21"/>
      <c r="Q129" s="21"/>
      <c r="R129" s="22"/>
    </row>
    <row r="130" spans="9:18" ht="12.45">
      <c r="I130" s="21"/>
      <c r="J130" s="21"/>
      <c r="L130" s="22"/>
      <c r="O130" s="21"/>
      <c r="P130" s="21"/>
      <c r="Q130" s="21"/>
      <c r="R130" s="22"/>
    </row>
    <row r="131" spans="9:18" ht="12.45">
      <c r="I131" s="21"/>
      <c r="J131" s="21"/>
      <c r="L131" s="22"/>
      <c r="O131" s="21"/>
      <c r="P131" s="21"/>
      <c r="Q131" s="21"/>
      <c r="R131" s="22"/>
    </row>
    <row r="132" spans="9:18" ht="12.45">
      <c r="I132" s="21"/>
      <c r="J132" s="21"/>
      <c r="L132" s="22"/>
      <c r="O132" s="21"/>
      <c r="P132" s="21"/>
      <c r="Q132" s="21"/>
      <c r="R132" s="22"/>
    </row>
    <row r="133" spans="9:18" ht="12.45">
      <c r="I133" s="21"/>
      <c r="J133" s="21"/>
      <c r="L133" s="22"/>
      <c r="O133" s="21"/>
      <c r="P133" s="21"/>
      <c r="Q133" s="21"/>
      <c r="R133" s="22"/>
    </row>
    <row r="134" spans="9:18" ht="12.45">
      <c r="I134" s="21"/>
      <c r="J134" s="21"/>
      <c r="L134" s="22"/>
      <c r="O134" s="21"/>
      <c r="P134" s="21"/>
      <c r="Q134" s="21"/>
      <c r="R134" s="22"/>
    </row>
    <row r="135" spans="9:18" ht="12.45">
      <c r="I135" s="21"/>
      <c r="J135" s="21"/>
      <c r="L135" s="22"/>
      <c r="O135" s="21"/>
      <c r="P135" s="21"/>
      <c r="Q135" s="21"/>
      <c r="R135" s="22"/>
    </row>
    <row r="136" spans="9:18" ht="12.45">
      <c r="I136" s="21"/>
      <c r="J136" s="21"/>
      <c r="L136" s="22"/>
      <c r="O136" s="21"/>
      <c r="P136" s="21"/>
      <c r="Q136" s="21"/>
      <c r="R136" s="22"/>
    </row>
    <row r="137" spans="9:18" ht="12.45">
      <c r="I137" s="21"/>
      <c r="J137" s="21"/>
      <c r="L137" s="22"/>
      <c r="O137" s="21"/>
      <c r="P137" s="21"/>
      <c r="Q137" s="21"/>
      <c r="R137" s="22"/>
    </row>
    <row r="138" spans="9:18" ht="12.45">
      <c r="I138" s="21"/>
      <c r="J138" s="21"/>
      <c r="L138" s="22"/>
      <c r="O138" s="21"/>
      <c r="P138" s="21"/>
      <c r="Q138" s="21"/>
      <c r="R138" s="22"/>
    </row>
    <row r="139" spans="9:18" ht="12.45">
      <c r="I139" s="21"/>
      <c r="J139" s="21"/>
      <c r="L139" s="22"/>
      <c r="O139" s="21"/>
      <c r="P139" s="21"/>
      <c r="Q139" s="21"/>
      <c r="R139" s="22"/>
    </row>
    <row r="140" spans="9:18" ht="12.45">
      <c r="I140" s="21"/>
      <c r="J140" s="21"/>
      <c r="L140" s="22"/>
      <c r="O140" s="21"/>
      <c r="P140" s="21"/>
      <c r="Q140" s="21"/>
      <c r="R140" s="22"/>
    </row>
    <row r="141" spans="9:18" ht="12.45">
      <c r="I141" s="21"/>
      <c r="J141" s="21"/>
      <c r="L141" s="22"/>
      <c r="O141" s="21"/>
      <c r="P141" s="21"/>
      <c r="Q141" s="21"/>
      <c r="R141" s="22"/>
    </row>
    <row r="142" spans="9:18" ht="12.45">
      <c r="I142" s="21"/>
      <c r="J142" s="21"/>
      <c r="L142" s="22"/>
      <c r="O142" s="21"/>
      <c r="P142" s="21"/>
      <c r="Q142" s="21"/>
      <c r="R142" s="22"/>
    </row>
    <row r="143" spans="9:18" ht="12.45">
      <c r="I143" s="21"/>
      <c r="J143" s="21"/>
      <c r="L143" s="22"/>
      <c r="O143" s="21"/>
      <c r="P143" s="21"/>
      <c r="Q143" s="21"/>
      <c r="R143" s="22"/>
    </row>
    <row r="144" spans="9:18" ht="12.45">
      <c r="I144" s="21"/>
      <c r="J144" s="21"/>
      <c r="L144" s="22"/>
      <c r="O144" s="21"/>
      <c r="P144" s="21"/>
      <c r="Q144" s="21"/>
      <c r="R144" s="22"/>
    </row>
    <row r="145" spans="9:18" ht="12.45">
      <c r="I145" s="21"/>
      <c r="J145" s="21"/>
      <c r="L145" s="22"/>
      <c r="O145" s="21"/>
      <c r="P145" s="21"/>
      <c r="Q145" s="21"/>
      <c r="R145" s="22"/>
    </row>
    <row r="146" spans="9:18" ht="12.45">
      <c r="I146" s="21"/>
      <c r="J146" s="21"/>
      <c r="L146" s="22"/>
      <c r="O146" s="21"/>
      <c r="P146" s="21"/>
      <c r="Q146" s="21"/>
      <c r="R146" s="22"/>
    </row>
    <row r="147" spans="9:18" ht="12.45">
      <c r="I147" s="21"/>
      <c r="J147" s="21"/>
      <c r="L147" s="22"/>
      <c r="O147" s="21"/>
      <c r="P147" s="21"/>
      <c r="Q147" s="21"/>
      <c r="R147" s="22"/>
    </row>
    <row r="148" spans="9:18" ht="12.45">
      <c r="I148" s="21"/>
      <c r="J148" s="21"/>
      <c r="L148" s="22"/>
      <c r="O148" s="21"/>
      <c r="P148" s="21"/>
      <c r="Q148" s="21"/>
      <c r="R148" s="22"/>
    </row>
    <row r="149" spans="9:18" ht="12.45">
      <c r="I149" s="21"/>
      <c r="J149" s="21"/>
      <c r="L149" s="22"/>
      <c r="O149" s="21"/>
      <c r="P149" s="21"/>
      <c r="Q149" s="21"/>
      <c r="R149" s="22"/>
    </row>
    <row r="150" spans="9:18" ht="12.45">
      <c r="I150" s="21"/>
      <c r="J150" s="21"/>
      <c r="L150" s="22"/>
      <c r="O150" s="21"/>
      <c r="P150" s="21"/>
      <c r="Q150" s="21"/>
      <c r="R150" s="22"/>
    </row>
    <row r="151" spans="9:18" ht="12.45">
      <c r="I151" s="21"/>
      <c r="J151" s="21"/>
      <c r="L151" s="22"/>
      <c r="O151" s="21"/>
      <c r="P151" s="21"/>
      <c r="Q151" s="21"/>
      <c r="R151" s="22"/>
    </row>
    <row r="152" spans="9:18" ht="12.45">
      <c r="I152" s="21"/>
      <c r="J152" s="21"/>
      <c r="L152" s="22"/>
      <c r="O152" s="21"/>
      <c r="P152" s="21"/>
      <c r="Q152" s="21"/>
      <c r="R152" s="22"/>
    </row>
    <row r="153" spans="9:18" ht="12.45">
      <c r="I153" s="21"/>
      <c r="J153" s="21"/>
      <c r="L153" s="22"/>
      <c r="O153" s="21"/>
      <c r="P153" s="21"/>
      <c r="Q153" s="21"/>
      <c r="R153" s="22"/>
    </row>
    <row r="154" spans="9:18" ht="12.45">
      <c r="I154" s="21"/>
      <c r="J154" s="21"/>
      <c r="L154" s="22"/>
      <c r="O154" s="21"/>
      <c r="P154" s="21"/>
      <c r="Q154" s="21"/>
      <c r="R154" s="22"/>
    </row>
    <row r="155" spans="9:18" ht="12.45">
      <c r="I155" s="21"/>
      <c r="J155" s="21"/>
      <c r="L155" s="22"/>
      <c r="O155" s="21"/>
      <c r="P155" s="21"/>
      <c r="Q155" s="21"/>
      <c r="R155" s="22"/>
    </row>
    <row r="156" spans="9:18" ht="12.45">
      <c r="I156" s="21"/>
      <c r="J156" s="21"/>
      <c r="L156" s="22"/>
      <c r="O156" s="21"/>
      <c r="P156" s="21"/>
      <c r="Q156" s="21"/>
      <c r="R156" s="22"/>
    </row>
    <row r="157" spans="9:18" ht="12.45">
      <c r="I157" s="21"/>
      <c r="J157" s="21"/>
      <c r="L157" s="22"/>
      <c r="O157" s="21"/>
      <c r="P157" s="21"/>
      <c r="Q157" s="21"/>
      <c r="R157" s="22"/>
    </row>
    <row r="158" spans="9:18" ht="12.45">
      <c r="I158" s="21"/>
      <c r="J158" s="21"/>
      <c r="L158" s="22"/>
      <c r="O158" s="21"/>
      <c r="P158" s="21"/>
      <c r="Q158" s="21"/>
      <c r="R158" s="22"/>
    </row>
    <row r="159" spans="9:18" ht="12.45">
      <c r="I159" s="21"/>
      <c r="J159" s="21"/>
      <c r="L159" s="22"/>
      <c r="O159" s="21"/>
      <c r="P159" s="21"/>
      <c r="Q159" s="21"/>
      <c r="R159" s="22"/>
    </row>
    <row r="160" spans="9:18" ht="12.45">
      <c r="I160" s="21"/>
      <c r="J160" s="21"/>
      <c r="L160" s="22"/>
      <c r="O160" s="21"/>
      <c r="P160" s="21"/>
      <c r="Q160" s="21"/>
      <c r="R160" s="22"/>
    </row>
    <row r="161" spans="9:18" ht="12.45">
      <c r="I161" s="21"/>
      <c r="J161" s="21"/>
      <c r="L161" s="22"/>
      <c r="O161" s="21"/>
      <c r="P161" s="21"/>
      <c r="Q161" s="21"/>
      <c r="R161" s="22"/>
    </row>
    <row r="162" spans="9:18" ht="12.45">
      <c r="I162" s="21"/>
      <c r="J162" s="21"/>
      <c r="L162" s="22"/>
      <c r="O162" s="21"/>
      <c r="P162" s="21"/>
      <c r="Q162" s="21"/>
      <c r="R162" s="22"/>
    </row>
    <row r="163" spans="9:18" ht="12.45">
      <c r="I163" s="21"/>
      <c r="J163" s="21"/>
      <c r="L163" s="22"/>
      <c r="O163" s="21"/>
      <c r="P163" s="21"/>
      <c r="Q163" s="21"/>
      <c r="R163" s="22"/>
    </row>
    <row r="164" spans="9:18" ht="12.45">
      <c r="I164" s="21"/>
      <c r="J164" s="21"/>
      <c r="L164" s="22"/>
      <c r="O164" s="21"/>
      <c r="P164" s="21"/>
      <c r="Q164" s="21"/>
      <c r="R164" s="22"/>
    </row>
    <row r="165" spans="9:18" ht="12.45">
      <c r="I165" s="21"/>
      <c r="J165" s="21"/>
      <c r="L165" s="22"/>
      <c r="O165" s="21"/>
      <c r="P165" s="21"/>
      <c r="Q165" s="21"/>
      <c r="R165" s="22"/>
    </row>
    <row r="166" spans="9:18" ht="12.45">
      <c r="I166" s="21"/>
      <c r="J166" s="21"/>
      <c r="L166" s="22"/>
      <c r="O166" s="21"/>
      <c r="P166" s="21"/>
      <c r="Q166" s="21"/>
      <c r="R166" s="22"/>
    </row>
    <row r="167" spans="9:18" ht="12.45">
      <c r="I167" s="21"/>
      <c r="J167" s="21"/>
      <c r="L167" s="22"/>
      <c r="O167" s="21"/>
      <c r="P167" s="21"/>
      <c r="Q167" s="21"/>
      <c r="R167" s="22"/>
    </row>
    <row r="168" spans="9:18" ht="12.45">
      <c r="I168" s="21"/>
      <c r="J168" s="21"/>
      <c r="L168" s="22"/>
      <c r="O168" s="21"/>
      <c r="P168" s="21"/>
      <c r="Q168" s="21"/>
      <c r="R168" s="22"/>
    </row>
    <row r="169" spans="9:18" ht="12.45">
      <c r="I169" s="21"/>
      <c r="J169" s="21"/>
      <c r="L169" s="22"/>
      <c r="O169" s="21"/>
      <c r="P169" s="21"/>
      <c r="Q169" s="21"/>
      <c r="R169" s="22"/>
    </row>
    <row r="170" spans="9:18" ht="12.45">
      <c r="I170" s="21"/>
      <c r="J170" s="21"/>
      <c r="L170" s="22"/>
      <c r="O170" s="21"/>
      <c r="P170" s="21"/>
      <c r="Q170" s="21"/>
      <c r="R170" s="22"/>
    </row>
    <row r="171" spans="9:18" ht="12.45">
      <c r="I171" s="21"/>
      <c r="J171" s="21"/>
      <c r="L171" s="22"/>
      <c r="O171" s="21"/>
      <c r="P171" s="21"/>
      <c r="Q171" s="21"/>
      <c r="R171" s="22"/>
    </row>
    <row r="172" spans="9:18" ht="12.45">
      <c r="I172" s="21"/>
      <c r="J172" s="21"/>
      <c r="L172" s="22"/>
      <c r="O172" s="21"/>
      <c r="P172" s="21"/>
      <c r="Q172" s="21"/>
      <c r="R172" s="22"/>
    </row>
    <row r="173" spans="9:18" ht="12.45"/>
    <row r="174" spans="9:18" ht="12.45"/>
    <row r="175" spans="9:18" ht="12.45"/>
    <row r="176" spans="9:18" ht="12.45"/>
    <row r="177" ht="12.45"/>
    <row r="178" ht="12.45"/>
    <row r="179" ht="12.45"/>
    <row r="180" ht="12.45"/>
    <row r="181" ht="12.45"/>
    <row r="182" ht="12.45"/>
    <row r="183" ht="12.45"/>
    <row r="184" ht="12.45"/>
    <row r="185" ht="12.45"/>
    <row r="186" ht="12.45"/>
    <row r="187" ht="12.45"/>
    <row r="188" ht="12.45"/>
    <row r="189" ht="12.45"/>
    <row r="190" ht="12.45"/>
    <row r="191" ht="12.45"/>
    <row r="192" ht="12.45"/>
    <row r="193" ht="12.45"/>
    <row r="194" ht="12.45"/>
  </sheetData>
  <autoFilter ref="S1:S56" xr:uid="{00000000-0009-0000-0000-000000000000}"/>
  <mergeCells count="41">
    <mergeCell ref="Q3:Q22"/>
    <mergeCell ref="K3:K22"/>
    <mergeCell ref="H23:H37"/>
    <mergeCell ref="I23:I37"/>
    <mergeCell ref="J23:J37"/>
    <mergeCell ref="H38:H55"/>
    <mergeCell ref="N23:N37"/>
    <mergeCell ref="N38:N55"/>
    <mergeCell ref="I38:I55"/>
    <mergeCell ref="J38:J55"/>
    <mergeCell ref="O23:O37"/>
    <mergeCell ref="P23:P37"/>
    <mergeCell ref="O38:O55"/>
    <mergeCell ref="P38:P55"/>
    <mergeCell ref="P3:P22"/>
    <mergeCell ref="D38:D55"/>
    <mergeCell ref="F40:F48"/>
    <mergeCell ref="C23:C55"/>
    <mergeCell ref="B3:B55"/>
    <mergeCell ref="H3:H22"/>
    <mergeCell ref="I3:I22"/>
    <mergeCell ref="J3:J22"/>
    <mergeCell ref="N3:N22"/>
    <mergeCell ref="O3:O22"/>
    <mergeCell ref="D23:D37"/>
    <mergeCell ref="F30:F33"/>
    <mergeCell ref="D3:D7"/>
    <mergeCell ref="D8:D12"/>
    <mergeCell ref="D13:D17"/>
    <mergeCell ref="D18:D22"/>
    <mergeCell ref="C3:C22"/>
    <mergeCell ref="H1:M1"/>
    <mergeCell ref="T1:Y1"/>
    <mergeCell ref="A1:A2"/>
    <mergeCell ref="B1:B2"/>
    <mergeCell ref="C1:C2"/>
    <mergeCell ref="D1:D2"/>
    <mergeCell ref="F1:F2"/>
    <mergeCell ref="E1:E2"/>
    <mergeCell ref="G1:G2"/>
    <mergeCell ref="N1:S1"/>
  </mergeCells>
  <phoneticPr fontId="19" type="noConversion"/>
  <dataValidations count="3">
    <dataValidation type="list" showInputMessage="1" showErrorMessage="1" sqref="R3:R55" xr:uid="{00000000-0002-0000-0000-000006000000}">
      <formula1>"未启动,开发中,待联调,已联调,已延期,"</formula1>
    </dataValidation>
    <dataValidation type="date" allowBlank="1" showInputMessage="1" showErrorMessage="1" sqref="O3:Q1048576 I3:J1048576" xr:uid="{00000000-0002-0000-0000-000000000000}"/>
    <dataValidation type="list" allowBlank="1" showInputMessage="1" showErrorMessage="1" sqref="L3:L1048576" xr:uid="{00000000-0002-0000-0000-000001000000}">
      <formula1>"未启动,开发中,待联调,已联调,已延期,"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项目计划表">
    <tabColor rgb="FFFFFFFF"/>
  </sheetPr>
  <dimension ref="A1:Z201"/>
  <sheetViews>
    <sheetView workbookViewId="0"/>
  </sheetViews>
  <sheetFormatPr defaultRowHeight="14.15"/>
  <cols>
    <col min="1" max="1" width="12.6640625" style="24" customWidth="1"/>
    <col min="2" max="2" width="31.6640625" style="43" customWidth="1"/>
    <col min="3" max="3" width="23.5" style="44" customWidth="1"/>
    <col min="4" max="5" width="17.6640625" style="24" customWidth="1"/>
    <col min="6" max="6" width="21.6640625" style="24" customWidth="1"/>
    <col min="7" max="7" width="17.6640625" style="24" customWidth="1"/>
    <col min="8" max="8" width="12.6640625" style="24" customWidth="1"/>
    <col min="9" max="26" width="10.6640625" style="24" customWidth="1"/>
  </cols>
  <sheetData>
    <row r="1" spans="1:8" ht="14.6">
      <c r="A1" s="23" t="s">
        <v>1</v>
      </c>
      <c r="B1" s="23" t="s">
        <v>89</v>
      </c>
      <c r="C1" s="23" t="s">
        <v>90</v>
      </c>
      <c r="D1" s="23" t="s">
        <v>91</v>
      </c>
      <c r="E1" s="23" t="s">
        <v>29</v>
      </c>
      <c r="F1" s="23" t="s">
        <v>92</v>
      </c>
      <c r="G1" s="23" t="s">
        <v>93</v>
      </c>
      <c r="H1" s="23" t="s">
        <v>94</v>
      </c>
    </row>
    <row r="2" spans="1:8" ht="13.75">
      <c r="A2" s="25">
        <v>1</v>
      </c>
      <c r="B2" s="26" t="s">
        <v>95</v>
      </c>
      <c r="C2" s="27" t="s">
        <v>96</v>
      </c>
      <c r="D2" s="28">
        <v>45575</v>
      </c>
      <c r="E2" s="28">
        <v>45589</v>
      </c>
      <c r="F2" s="29">
        <f>E2-D2</f>
        <v>14</v>
      </c>
      <c r="G2" s="30"/>
      <c r="H2" s="31"/>
    </row>
    <row r="3" spans="1:8" ht="13.75">
      <c r="A3" s="25">
        <v>2</v>
      </c>
      <c r="B3" s="26" t="s">
        <v>97</v>
      </c>
      <c r="C3" s="27" t="s">
        <v>96</v>
      </c>
      <c r="D3" s="28">
        <v>45575</v>
      </c>
      <c r="E3" s="28">
        <v>45589</v>
      </c>
      <c r="F3" s="32">
        <f>E3-D3</f>
        <v>14</v>
      </c>
      <c r="G3" s="30"/>
      <c r="H3" s="31"/>
    </row>
    <row r="4" spans="1:8" ht="13.75">
      <c r="A4" s="25">
        <v>3</v>
      </c>
      <c r="B4" s="33" t="s">
        <v>98</v>
      </c>
      <c r="C4" s="27" t="s">
        <v>96</v>
      </c>
      <c r="D4" s="28">
        <v>45575</v>
      </c>
      <c r="E4" s="28">
        <v>45594</v>
      </c>
      <c r="F4" s="32">
        <f>E4-D4</f>
        <v>19</v>
      </c>
      <c r="G4" s="30"/>
      <c r="H4" s="31"/>
    </row>
    <row r="5" spans="1:8" ht="13.75">
      <c r="A5" s="25">
        <v>4</v>
      </c>
      <c r="B5" s="34" t="s">
        <v>99</v>
      </c>
      <c r="C5" s="27" t="s">
        <v>96</v>
      </c>
      <c r="D5" s="28">
        <v>45589</v>
      </c>
      <c r="E5" s="28">
        <v>45594</v>
      </c>
      <c r="F5" s="32">
        <f>E5-D5</f>
        <v>5</v>
      </c>
      <c r="G5" s="30" t="s">
        <v>100</v>
      </c>
      <c r="H5" s="31"/>
    </row>
    <row r="6" spans="1:8" ht="13.75" hidden="1">
      <c r="A6" s="25">
        <v>5</v>
      </c>
      <c r="B6" s="26" t="s">
        <v>101</v>
      </c>
      <c r="C6" s="35"/>
      <c r="D6" s="28"/>
      <c r="E6" s="28"/>
      <c r="F6" s="32"/>
      <c r="G6" s="30"/>
      <c r="H6" s="31"/>
    </row>
    <row r="7" spans="1:8" ht="13.75" hidden="1">
      <c r="A7" s="25">
        <v>6</v>
      </c>
      <c r="B7" s="26" t="s">
        <v>102</v>
      </c>
      <c r="C7" s="35"/>
      <c r="D7" s="28"/>
      <c r="E7" s="28"/>
      <c r="F7" s="32"/>
      <c r="G7" s="30"/>
      <c r="H7" s="31"/>
    </row>
    <row r="8" spans="1:8" ht="13.75">
      <c r="A8" s="25">
        <v>7</v>
      </c>
      <c r="B8" s="26" t="s">
        <v>103</v>
      </c>
      <c r="C8" s="35" t="s">
        <v>15</v>
      </c>
      <c r="D8" s="28">
        <v>45607</v>
      </c>
      <c r="E8" s="28">
        <v>45611</v>
      </c>
      <c r="F8" s="32">
        <v>5</v>
      </c>
      <c r="G8" s="30"/>
      <c r="H8" s="31"/>
    </row>
    <row r="9" spans="1:8" ht="13.75">
      <c r="A9" s="25">
        <v>8</v>
      </c>
      <c r="B9" s="34" t="s">
        <v>104</v>
      </c>
      <c r="C9" s="35" t="s">
        <v>15</v>
      </c>
      <c r="D9" s="28">
        <v>45614</v>
      </c>
      <c r="E9" s="28">
        <v>45614</v>
      </c>
      <c r="F9" s="32">
        <v>0.5</v>
      </c>
      <c r="G9" s="30"/>
      <c r="H9" s="31"/>
    </row>
    <row r="10" spans="1:8" ht="13.75">
      <c r="A10" s="25">
        <v>9</v>
      </c>
      <c r="B10" s="26" t="s">
        <v>105</v>
      </c>
      <c r="C10" s="35" t="s">
        <v>106</v>
      </c>
      <c r="D10" s="28"/>
      <c r="E10" s="28"/>
      <c r="F10" s="36"/>
      <c r="G10" s="30"/>
      <c r="H10" s="31"/>
    </row>
    <row r="11" spans="1:8" ht="13.75">
      <c r="A11" s="25">
        <v>10</v>
      </c>
      <c r="B11" s="34" t="s">
        <v>107</v>
      </c>
      <c r="C11" s="35" t="s">
        <v>106</v>
      </c>
      <c r="D11" s="28"/>
      <c r="E11" s="28"/>
      <c r="F11" s="36"/>
      <c r="G11" s="30" t="s">
        <v>100</v>
      </c>
      <c r="H11" s="31"/>
    </row>
    <row r="12" spans="1:8" ht="13.75">
      <c r="A12" s="25">
        <v>11</v>
      </c>
      <c r="B12" s="34" t="s">
        <v>108</v>
      </c>
      <c r="C12" s="37" t="s">
        <v>109</v>
      </c>
      <c r="D12" s="28">
        <f>工时评估表!I3</f>
        <v>45600</v>
      </c>
      <c r="E12" s="28">
        <v>45615</v>
      </c>
      <c r="F12" s="36">
        <v>0</v>
      </c>
      <c r="G12" s="30"/>
      <c r="H12" s="31"/>
    </row>
    <row r="13" spans="1:8" ht="13.75">
      <c r="A13" s="25">
        <v>12</v>
      </c>
      <c r="B13" s="26" t="s">
        <v>110</v>
      </c>
      <c r="C13" s="35" t="s">
        <v>40</v>
      </c>
      <c r="D13" s="28">
        <f>工时评估表!O3</f>
        <v>45600</v>
      </c>
      <c r="E13" s="28">
        <v>45614</v>
      </c>
      <c r="F13" s="36">
        <v>8</v>
      </c>
      <c r="G13" s="30"/>
      <c r="H13" s="31"/>
    </row>
    <row r="14" spans="1:8" ht="13.75">
      <c r="A14" s="25">
        <v>13</v>
      </c>
      <c r="B14" s="26" t="s">
        <v>111</v>
      </c>
      <c r="C14" s="35" t="s">
        <v>39</v>
      </c>
      <c r="D14" s="28">
        <v>45600</v>
      </c>
      <c r="E14" s="28">
        <v>45614</v>
      </c>
      <c r="F14" s="36">
        <v>8</v>
      </c>
      <c r="G14" s="30"/>
      <c r="H14" s="31"/>
    </row>
    <row r="15" spans="1:8" ht="13.75">
      <c r="A15" s="25">
        <v>14</v>
      </c>
      <c r="B15" s="26" t="s">
        <v>112</v>
      </c>
      <c r="C15" s="35" t="s">
        <v>109</v>
      </c>
      <c r="D15" s="28">
        <v>45600</v>
      </c>
      <c r="E15" s="28">
        <v>45615</v>
      </c>
      <c r="F15" s="36"/>
      <c r="G15" s="30"/>
      <c r="H15" s="31"/>
    </row>
    <row r="16" spans="1:8" ht="13.75">
      <c r="A16" s="25">
        <v>15</v>
      </c>
      <c r="B16" s="26" t="s">
        <v>113</v>
      </c>
      <c r="C16" s="37" t="s">
        <v>109</v>
      </c>
      <c r="D16" s="28">
        <v>45600</v>
      </c>
      <c r="E16" s="28">
        <v>45615</v>
      </c>
      <c r="F16" s="36">
        <v>1</v>
      </c>
      <c r="G16" s="30"/>
      <c r="H16" s="31"/>
    </row>
    <row r="17" spans="1:8" ht="13.75">
      <c r="A17" s="25">
        <v>16</v>
      </c>
      <c r="B17" s="34" t="s">
        <v>114</v>
      </c>
      <c r="C17" s="35" t="s">
        <v>15</v>
      </c>
      <c r="D17" s="28">
        <v>45616</v>
      </c>
      <c r="E17" s="28">
        <v>45616</v>
      </c>
      <c r="F17" s="36">
        <v>1</v>
      </c>
      <c r="G17" s="30" t="s">
        <v>100</v>
      </c>
      <c r="H17" s="31"/>
    </row>
    <row r="18" spans="1:8" ht="13.75">
      <c r="A18" s="25">
        <v>17</v>
      </c>
      <c r="B18" s="33" t="s">
        <v>115</v>
      </c>
      <c r="C18" s="35" t="s">
        <v>15</v>
      </c>
      <c r="D18" s="28">
        <v>45617</v>
      </c>
      <c r="E18" s="28">
        <v>45619</v>
      </c>
      <c r="F18" s="36">
        <v>3</v>
      </c>
      <c r="G18" s="30"/>
      <c r="H18" s="31"/>
    </row>
    <row r="19" spans="1:8" ht="13.75">
      <c r="A19" s="25">
        <v>18</v>
      </c>
      <c r="B19" s="26" t="s">
        <v>116</v>
      </c>
      <c r="C19" s="35" t="s">
        <v>15</v>
      </c>
      <c r="D19" s="28">
        <v>45621</v>
      </c>
      <c r="E19" s="28">
        <v>45622</v>
      </c>
      <c r="F19" s="36">
        <v>3</v>
      </c>
      <c r="G19" s="30"/>
      <c r="H19" s="31"/>
    </row>
    <row r="20" spans="1:8" ht="13.75">
      <c r="A20" s="25">
        <v>19</v>
      </c>
      <c r="B20" s="34" t="s">
        <v>117</v>
      </c>
      <c r="C20" s="38" t="s">
        <v>96</v>
      </c>
      <c r="D20" s="28">
        <v>45629</v>
      </c>
      <c r="E20" s="28">
        <v>45629</v>
      </c>
      <c r="F20" s="36"/>
      <c r="G20" s="30" t="s">
        <v>100</v>
      </c>
      <c r="H20" s="31"/>
    </row>
    <row r="21" spans="1:8" ht="13.75">
      <c r="A21" s="25">
        <v>20</v>
      </c>
      <c r="B21" s="34" t="s">
        <v>118</v>
      </c>
      <c r="C21" s="38" t="s">
        <v>96</v>
      </c>
      <c r="D21" s="28">
        <v>45630</v>
      </c>
      <c r="E21" s="28">
        <v>45631</v>
      </c>
      <c r="F21" s="36"/>
      <c r="G21" s="30"/>
      <c r="H21" s="31"/>
    </row>
    <row r="22" spans="1:8" ht="13.75">
      <c r="A22" s="25">
        <v>21</v>
      </c>
      <c r="B22" s="30" t="s">
        <v>119</v>
      </c>
      <c r="C22" s="35" t="s">
        <v>40</v>
      </c>
      <c r="D22" s="28">
        <v>45618</v>
      </c>
      <c r="E22" s="28">
        <v>45628</v>
      </c>
      <c r="F22" s="36"/>
      <c r="G22" s="30"/>
      <c r="H22" s="31"/>
    </row>
    <row r="23" spans="1:8" ht="13.75">
      <c r="A23" s="25">
        <v>22</v>
      </c>
      <c r="B23" s="30" t="s">
        <v>120</v>
      </c>
      <c r="C23" s="35" t="s">
        <v>39</v>
      </c>
      <c r="D23" s="28">
        <v>45618</v>
      </c>
      <c r="E23" s="28">
        <v>45628</v>
      </c>
      <c r="F23" s="36"/>
      <c r="G23" s="30"/>
      <c r="H23" s="31"/>
    </row>
    <row r="24" spans="1:8" ht="13.75">
      <c r="A24" s="39">
        <v>23</v>
      </c>
      <c r="B24" s="40" t="s">
        <v>121</v>
      </c>
      <c r="C24" s="35" t="s">
        <v>106</v>
      </c>
      <c r="D24" s="28"/>
      <c r="E24" s="28"/>
      <c r="F24" s="36"/>
      <c r="G24" s="30"/>
      <c r="H24" s="31"/>
    </row>
    <row r="25" spans="1:8" ht="13.75">
      <c r="A25" s="25">
        <v>24</v>
      </c>
      <c r="B25" s="26" t="s">
        <v>122</v>
      </c>
      <c r="C25" s="35" t="s">
        <v>15</v>
      </c>
      <c r="D25" s="28">
        <v>45629</v>
      </c>
      <c r="E25" s="28">
        <v>45629</v>
      </c>
      <c r="F25" s="36"/>
      <c r="G25" s="30"/>
      <c r="H25" s="31"/>
    </row>
    <row r="26" spans="1:8" ht="13.75">
      <c r="A26" s="25">
        <v>25</v>
      </c>
      <c r="B26" s="26" t="s">
        <v>123</v>
      </c>
      <c r="C26" s="35" t="s">
        <v>15</v>
      </c>
      <c r="D26" s="28">
        <v>45630</v>
      </c>
      <c r="E26" s="28">
        <v>45630</v>
      </c>
      <c r="F26" s="36"/>
      <c r="G26" s="30"/>
      <c r="H26" s="31"/>
    </row>
    <row r="27" spans="1:8" ht="13.75">
      <c r="A27" s="25">
        <v>26</v>
      </c>
      <c r="B27" s="41" t="s">
        <v>124</v>
      </c>
      <c r="C27" s="35"/>
      <c r="D27" s="28"/>
      <c r="E27" s="28"/>
      <c r="F27" s="36"/>
      <c r="G27" s="30"/>
      <c r="H27" s="31"/>
    </row>
    <row r="28" spans="1:8" ht="14.6">
      <c r="A28" s="25">
        <v>27</v>
      </c>
      <c r="B28" s="42" t="s">
        <v>125</v>
      </c>
      <c r="C28" s="35" t="s">
        <v>96</v>
      </c>
      <c r="D28" s="28">
        <v>45632</v>
      </c>
      <c r="E28" s="28">
        <v>45632</v>
      </c>
      <c r="F28" s="36"/>
      <c r="G28" s="30" t="s">
        <v>100</v>
      </c>
      <c r="H28" s="31"/>
    </row>
    <row r="29" spans="1:8" ht="13.75"/>
    <row r="30" spans="1:8" ht="13.75"/>
    <row r="31" spans="1:8" ht="13.75"/>
    <row r="32" spans="1:8" ht="13.75"/>
    <row r="33" ht="13.75"/>
    <row r="34" ht="13.75"/>
    <row r="35" ht="13.75"/>
    <row r="36" ht="13.75"/>
    <row r="37" ht="13.75"/>
    <row r="38" ht="13.75"/>
    <row r="39" ht="13.75"/>
    <row r="40" ht="13.75"/>
    <row r="41" ht="13.75"/>
    <row r="42" ht="13.75"/>
    <row r="43" ht="13.75"/>
    <row r="44" ht="13.75"/>
    <row r="45" ht="13.75"/>
    <row r="46" ht="13.75"/>
    <row r="47" ht="13.75"/>
    <row r="48" ht="13.75"/>
    <row r="49" ht="13.75"/>
    <row r="50" ht="13.75"/>
    <row r="51" ht="13.75"/>
    <row r="52" ht="13.75"/>
    <row r="53" ht="13.75"/>
    <row r="54" ht="13.75"/>
    <row r="55" ht="13.75"/>
    <row r="56" ht="13.75"/>
    <row r="57" ht="13.75"/>
    <row r="58" ht="13.75"/>
    <row r="59" ht="13.75"/>
    <row r="60" ht="13.75"/>
    <row r="61" ht="13.75"/>
    <row r="62" ht="13.75"/>
    <row r="63" ht="13.75"/>
    <row r="64" ht="13.75"/>
    <row r="65" ht="13.75"/>
    <row r="66" ht="13.75"/>
    <row r="67" ht="13.75"/>
    <row r="68" ht="13.75"/>
    <row r="69" ht="13.75"/>
    <row r="70" ht="13.75"/>
    <row r="71" ht="13.75"/>
    <row r="72" ht="13.75"/>
    <row r="73" ht="13.75"/>
    <row r="74" ht="13.75"/>
    <row r="75" ht="13.75"/>
    <row r="76" ht="13.75"/>
    <row r="77" ht="13.75"/>
    <row r="78" ht="13.75"/>
    <row r="79" ht="13.75"/>
    <row r="80" ht="13.75"/>
    <row r="81" ht="13.75"/>
    <row r="82" ht="13.75"/>
    <row r="83" ht="13.75"/>
    <row r="84" ht="13.75"/>
    <row r="85" ht="13.75"/>
    <row r="86" ht="13.75"/>
    <row r="87" ht="13.75"/>
    <row r="88" ht="13.75"/>
    <row r="89" ht="13.75"/>
    <row r="90" ht="13.75"/>
    <row r="91" ht="13.75"/>
    <row r="92" ht="13.75"/>
    <row r="93" ht="13.75"/>
    <row r="94" ht="13.75"/>
    <row r="95" ht="13.75"/>
    <row r="96" ht="13.75"/>
    <row r="97" ht="13.75"/>
    <row r="98" ht="13.75"/>
    <row r="99" ht="13.75"/>
    <row r="100" ht="13.75"/>
    <row r="101" ht="13.75"/>
    <row r="102" ht="13.75"/>
    <row r="103" ht="13.75"/>
    <row r="104" ht="13.75"/>
    <row r="105" ht="13.75"/>
    <row r="106" ht="13.75"/>
    <row r="107" ht="13.75"/>
    <row r="108" ht="13.75"/>
    <row r="109" ht="13.75"/>
    <row r="110" ht="13.75"/>
    <row r="111" ht="13.75"/>
    <row r="112" ht="13.75"/>
    <row r="113" ht="13.75"/>
    <row r="114" ht="13.75"/>
    <row r="115" ht="13.75"/>
    <row r="116" ht="13.75"/>
    <row r="117" ht="13.75"/>
    <row r="118" ht="13.75"/>
    <row r="119" ht="13.75"/>
    <row r="120" ht="13.75"/>
    <row r="121" ht="13.75"/>
    <row r="122" ht="13.75"/>
    <row r="123" ht="13.75"/>
    <row r="124" ht="13.75"/>
    <row r="125" ht="13.75"/>
    <row r="126" ht="13.75"/>
    <row r="127" ht="13.75"/>
    <row r="128" ht="13.75"/>
    <row r="129" ht="13.75"/>
    <row r="130" ht="13.75"/>
    <row r="131" ht="13.75"/>
    <row r="132" ht="13.75"/>
    <row r="133" ht="13.75"/>
    <row r="134" ht="13.75"/>
    <row r="135" ht="13.75"/>
    <row r="136" ht="13.75"/>
    <row r="137" ht="13.75"/>
    <row r="138" ht="13.75"/>
    <row r="139" ht="13.75"/>
    <row r="140" ht="13.75"/>
    <row r="141" ht="13.75"/>
    <row r="142" ht="13.75"/>
    <row r="143" ht="13.75"/>
    <row r="144" ht="13.75"/>
    <row r="145" ht="13.75"/>
    <row r="146" ht="13.75"/>
    <row r="147" ht="13.75"/>
    <row r="148" ht="13.75"/>
    <row r="149" ht="13.75"/>
    <row r="150" ht="13.75"/>
    <row r="151" ht="13.75"/>
    <row r="152" ht="13.75"/>
    <row r="153" ht="13.75"/>
    <row r="154" ht="13.75"/>
    <row r="155" ht="13.75"/>
    <row r="156" ht="13.75"/>
    <row r="157" ht="13.75"/>
    <row r="158" ht="13.75"/>
    <row r="159" ht="13.75"/>
    <row r="160" ht="13.75"/>
    <row r="161" ht="13.75"/>
    <row r="162" ht="13.75"/>
    <row r="163" ht="13.75"/>
    <row r="164" ht="13.75"/>
    <row r="165" ht="13.75"/>
    <row r="166" ht="13.75"/>
    <row r="167" ht="13.75"/>
    <row r="168" ht="13.75"/>
    <row r="169" ht="13.75"/>
    <row r="170" ht="13.75"/>
    <row r="171" ht="13.75"/>
    <row r="172" ht="13.75"/>
    <row r="173" ht="13.75"/>
    <row r="174" ht="13.75"/>
    <row r="175" ht="13.75"/>
    <row r="176" ht="13.75"/>
    <row r="177" ht="13.75"/>
    <row r="178" ht="13.75"/>
    <row r="179" ht="13.75"/>
    <row r="180" ht="13.75"/>
    <row r="181" ht="13.75"/>
    <row r="182" ht="13.75"/>
    <row r="183" ht="13.75"/>
    <row r="184" ht="13.75"/>
    <row r="185" ht="13.75"/>
    <row r="186" ht="13.75"/>
    <row r="187" ht="13.75"/>
    <row r="188" ht="13.75"/>
    <row r="189" ht="13.75"/>
    <row r="190" ht="13.75"/>
    <row r="191" ht="13.75"/>
    <row r="192" ht="13.75"/>
    <row r="193" ht="13.75"/>
    <row r="194" ht="13.75"/>
    <row r="195" ht="13.75"/>
    <row r="196" ht="13.75"/>
    <row r="197" ht="13.75"/>
    <row r="198" ht="13.75"/>
    <row r="199" ht="13.75"/>
    <row r="200" ht="13.75"/>
    <row r="201" ht="13.75"/>
  </sheetData>
  <phoneticPr fontId="19" type="noConversion"/>
  <dataValidations count="2">
    <dataValidation type="date" allowBlank="1" showInputMessage="1" showErrorMessage="1" sqref="D2:D11 E2:E28 D14:D28" xr:uid="{00000000-0002-0000-0100-000000000000}"/>
    <dataValidation type="list" errorStyle="warning" prompt="您选择的不是下拉列表中的选项" sqref="G2:G201" xr:uid="{00000000-0002-0000-0100-000003000000}">
      <formula1>"是否为里程碑,是"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资源分配">
    <tabColor rgb="FFFFFFFF"/>
  </sheetPr>
  <dimension ref="A1:E7"/>
  <sheetViews>
    <sheetView workbookViewId="0"/>
  </sheetViews>
  <sheetFormatPr defaultRowHeight="14.15"/>
  <cols>
    <col min="1" max="1" width="11.08203125" customWidth="1"/>
    <col min="2" max="2" width="20.6640625" customWidth="1"/>
    <col min="5" max="5" width="51.9140625" customWidth="1"/>
  </cols>
  <sheetData>
    <row r="1" spans="1:5" ht="12.45">
      <c r="A1" s="73" t="s">
        <v>0</v>
      </c>
      <c r="B1" s="52"/>
      <c r="C1" s="52"/>
      <c r="D1" s="52"/>
      <c r="E1" s="52"/>
    </row>
    <row r="2" spans="1:5" ht="12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2.45">
      <c r="A3" s="1">
        <v>1</v>
      </c>
      <c r="B3" s="1" t="s">
        <v>6</v>
      </c>
      <c r="C3" s="1" t="s">
        <v>7</v>
      </c>
      <c r="D3" s="1">
        <v>23.5</v>
      </c>
      <c r="E3" s="2" t="s">
        <v>8</v>
      </c>
    </row>
    <row r="4" spans="1:5" ht="12.45">
      <c r="A4" s="1">
        <v>2</v>
      </c>
      <c r="B4" s="1" t="s">
        <v>9</v>
      </c>
      <c r="C4" s="1" t="s">
        <v>10</v>
      </c>
      <c r="D4" s="1">
        <v>22</v>
      </c>
      <c r="E4" s="2" t="s">
        <v>11</v>
      </c>
    </row>
    <row r="5" spans="1:5" ht="12.45">
      <c r="A5" s="1">
        <v>3</v>
      </c>
      <c r="B5" s="1" t="s">
        <v>12</v>
      </c>
      <c r="C5" s="1" t="s">
        <v>13</v>
      </c>
      <c r="D5" s="1">
        <v>21</v>
      </c>
      <c r="E5" s="2" t="s">
        <v>14</v>
      </c>
    </row>
    <row r="6" spans="1:5" ht="12.45">
      <c r="A6" s="1">
        <v>4</v>
      </c>
      <c r="B6" s="1" t="s">
        <v>15</v>
      </c>
      <c r="C6" s="1" t="s">
        <v>16</v>
      </c>
      <c r="D6" s="1">
        <v>11</v>
      </c>
      <c r="E6" s="2" t="s">
        <v>17</v>
      </c>
    </row>
    <row r="7" spans="1:5" ht="12.45">
      <c r="D7" s="3">
        <f>SUM(D3:D6)</f>
        <v>77.5</v>
      </c>
    </row>
  </sheetData>
  <mergeCells count="1">
    <mergeCell ref="A1:E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工时评估表</vt:lpstr>
      <vt:lpstr>项目计划表</vt:lpstr>
      <vt:lpstr>资源分配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Beibei Zhang</cp:lastModifiedBy>
  <dcterms:created xsi:type="dcterms:W3CDTF">2026-03-25T13:16:37Z</dcterms:created>
  <dcterms:modified xsi:type="dcterms:W3CDTF">2026-03-25T05:17:12Z</dcterms:modified>
</cp:coreProperties>
</file>